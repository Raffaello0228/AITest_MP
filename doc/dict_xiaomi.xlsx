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mediaplan\dict\"/>
    </mc:Choice>
  </mc:AlternateContent>
  <xr:revisionPtr revIDLastSave="0" documentId="13_ncr:1_{15370671-E798-468F-8BF6-F7FA47AEFFE0}" xr6:coauthVersionLast="47" xr6:coauthVersionMax="47" xr10:uidLastSave="{00000000-0000-0000-0000-000000000000}"/>
  <bookViews>
    <workbookView xWindow="6300" yWindow="2385" windowWidth="17955" windowHeight="13125" activeTab="1" xr2:uid="{00000000-000D-0000-FFFF-FFFF00000000}"/>
  </bookViews>
  <sheets>
    <sheet name="Ad format" sheetId="2" r:id="rId1"/>
    <sheet name="地区+国家" sheetId="5" r:id="rId2"/>
    <sheet name="Brand" sheetId="3" r:id="rId3"/>
    <sheet name="KPI" sheetId="4" r:id="rId4"/>
    <sheet name="stage" sheetId="6" r:id="rId5"/>
    <sheet name="服务费" sheetId="7" r:id="rId6"/>
    <sheet name="税费" sheetId="8" r:id="rId7"/>
    <sheet name="输出逻辑" sheetId="9" r:id="rId8"/>
    <sheet name="完整输出示例" sheetId="10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58" i="10" l="1"/>
  <c r="R58" i="10"/>
  <c r="T57" i="10"/>
  <c r="S57" i="10" s="1"/>
  <c r="T56" i="10"/>
  <c r="S56" i="10" s="1"/>
  <c r="T55" i="10"/>
  <c r="S55" i="10" s="1"/>
  <c r="T54" i="10"/>
  <c r="S54" i="10"/>
  <c r="T53" i="10"/>
  <c r="S53" i="10" s="1"/>
  <c r="T52" i="10"/>
  <c r="T58" i="10" s="1"/>
  <c r="AD51" i="10"/>
  <c r="AC51" i="10"/>
  <c r="AB51" i="10"/>
  <c r="AA51" i="10"/>
  <c r="U51" i="10"/>
  <c r="R51" i="10"/>
  <c r="Q48" i="10" s="1"/>
  <c r="T50" i="10"/>
  <c r="S50" i="10" s="1"/>
  <c r="T49" i="10"/>
  <c r="S49" i="10" s="1"/>
  <c r="T48" i="10"/>
  <c r="S48" i="10"/>
  <c r="T47" i="10"/>
  <c r="S47" i="10"/>
  <c r="Q47" i="10"/>
  <c r="T46" i="10"/>
  <c r="S46" i="10" s="1"/>
  <c r="T45" i="10"/>
  <c r="S45" i="10" s="1"/>
  <c r="T44" i="10"/>
  <c r="S44" i="10"/>
  <c r="T43" i="10"/>
  <c r="S43" i="10"/>
  <c r="Q43" i="10"/>
  <c r="T42" i="10"/>
  <c r="S42" i="10" s="1"/>
  <c r="Q42" i="10"/>
  <c r="T41" i="10"/>
  <c r="S41" i="10" s="1"/>
  <c r="AD40" i="10"/>
  <c r="AD59" i="10" s="1"/>
  <c r="AC40" i="10"/>
  <c r="AC59" i="10" s="1"/>
  <c r="AB40" i="10"/>
  <c r="AB59" i="10" s="1"/>
  <c r="AA40" i="10"/>
  <c r="AA59" i="10" s="1"/>
  <c r="U40" i="10"/>
  <c r="U59" i="10" s="1"/>
  <c r="T40" i="10"/>
  <c r="R40" i="10"/>
  <c r="R59" i="10" s="1"/>
  <c r="T39" i="10"/>
  <c r="S39" i="10"/>
  <c r="T38" i="10"/>
  <c r="S38" i="10" s="1"/>
  <c r="T37" i="10"/>
  <c r="S37" i="10"/>
  <c r="T36" i="10"/>
  <c r="S36" i="10" s="1"/>
  <c r="T35" i="10"/>
  <c r="S35" i="10"/>
  <c r="T34" i="10"/>
  <c r="S34" i="10" s="1"/>
  <c r="T33" i="10"/>
  <c r="S33" i="10"/>
  <c r="T32" i="10"/>
  <c r="S32" i="10" s="1"/>
  <c r="T31" i="10"/>
  <c r="S31" i="10"/>
  <c r="U29" i="10"/>
  <c r="R29" i="10"/>
  <c r="T28" i="10"/>
  <c r="S28" i="10" s="1"/>
  <c r="T27" i="10"/>
  <c r="S27" i="10"/>
  <c r="T26" i="10"/>
  <c r="S26" i="10" s="1"/>
  <c r="T25" i="10"/>
  <c r="S25" i="10"/>
  <c r="T24" i="10"/>
  <c r="S24" i="10" s="1"/>
  <c r="T23" i="10"/>
  <c r="T29" i="10" s="1"/>
  <c r="S23" i="10"/>
  <c r="AD22" i="10"/>
  <c r="AC22" i="10"/>
  <c r="AB22" i="10"/>
  <c r="AB30" i="10" s="1"/>
  <c r="AA22" i="10"/>
  <c r="AA30" i="10" s="1"/>
  <c r="U22" i="10"/>
  <c r="R22" i="10"/>
  <c r="Q19" i="10" s="1"/>
  <c r="T21" i="10"/>
  <c r="S21" i="10" s="1"/>
  <c r="T20" i="10"/>
  <c r="S20" i="10" s="1"/>
  <c r="T19" i="10"/>
  <c r="S19" i="10"/>
  <c r="T18" i="10"/>
  <c r="S18" i="10"/>
  <c r="Q18" i="10"/>
  <c r="T17" i="10"/>
  <c r="S17" i="10" s="1"/>
  <c r="T16" i="10"/>
  <c r="S16" i="10" s="1"/>
  <c r="T15" i="10"/>
  <c r="S15" i="10"/>
  <c r="T14" i="10"/>
  <c r="S14" i="10"/>
  <c r="Q14" i="10"/>
  <c r="T13" i="10"/>
  <c r="S13" i="10" s="1"/>
  <c r="T12" i="10"/>
  <c r="S12" i="10" s="1"/>
  <c r="AD11" i="10"/>
  <c r="AD30" i="10" s="1"/>
  <c r="AC11" i="10"/>
  <c r="AC30" i="10" s="1"/>
  <c r="AB11" i="10"/>
  <c r="AA11" i="10"/>
  <c r="U11" i="10"/>
  <c r="U30" i="10" s="1"/>
  <c r="T11" i="10"/>
  <c r="R11" i="10"/>
  <c r="T10" i="10"/>
  <c r="S10" i="10"/>
  <c r="T9" i="10"/>
  <c r="S9" i="10" s="1"/>
  <c r="T8" i="10"/>
  <c r="S8" i="10"/>
  <c r="T7" i="10"/>
  <c r="S7" i="10" s="1"/>
  <c r="T6" i="10"/>
  <c r="S6" i="10"/>
  <c r="T5" i="10"/>
  <c r="S5" i="10" s="1"/>
  <c r="T4" i="10"/>
  <c r="S4" i="10"/>
  <c r="T3" i="10"/>
  <c r="S3" i="10" s="1"/>
  <c r="T2" i="10"/>
  <c r="S2" i="10"/>
  <c r="S29" i="10" l="1"/>
  <c r="S22" i="10"/>
  <c r="S51" i="10"/>
  <c r="S40" i="10"/>
  <c r="S11" i="10"/>
  <c r="S30" i="10" s="1"/>
  <c r="S52" i="10"/>
  <c r="S58" i="10" s="1"/>
  <c r="Q46" i="10"/>
  <c r="Q17" i="10"/>
  <c r="Q12" i="10"/>
  <c r="Q20" i="10"/>
  <c r="T22" i="10"/>
  <c r="T30" i="10" s="1"/>
  <c r="Q41" i="10"/>
  <c r="Q49" i="10"/>
  <c r="T51" i="10"/>
  <c r="T59" i="10" s="1"/>
  <c r="R30" i="10"/>
  <c r="Q15" i="10"/>
  <c r="Q44" i="10"/>
  <c r="Q50" i="10"/>
  <c r="Q13" i="10"/>
  <c r="Q21" i="10"/>
  <c r="Q16" i="10"/>
  <c r="Q45" i="10"/>
  <c r="S59" i="10" l="1"/>
</calcChain>
</file>

<file path=xl/sharedStrings.xml><?xml version="1.0" encoding="utf-8"?>
<sst xmlns="http://schemas.openxmlformats.org/spreadsheetml/2006/main" count="1699" uniqueCount="370">
  <si>
    <r>
      <rPr>
        <sz val="9.75"/>
        <color rgb="FFD83931"/>
        <rFont val="Calibri"/>
        <family val="2"/>
      </rPr>
      <t>1、页面不用显示，导出需要加该列，</t>
    </r>
    <r>
      <rPr>
        <sz val="9.75"/>
        <color rgb="FF000000"/>
        <rFont val="Calibri"/>
        <family val="2"/>
      </rPr>
      <t>保留复选框，让用户自己选择</t>
    </r>
  </si>
  <si>
    <r>
      <rPr>
        <sz val="9.75"/>
        <color rgb="FF000000"/>
        <rFont val="Calibri"/>
        <family val="2"/>
      </rPr>
      <t>1、等于新建时的选择，枚举值见sheet2，</t>
    </r>
    <r>
      <rPr>
        <sz val="9.75"/>
        <color rgb="FF1F2329"/>
        <rFont val="Calibri"/>
        <family val="2"/>
      </rPr>
      <t xml:space="preserve">显示样式：Country列（C列）
</t>
    </r>
    <r>
      <rPr>
        <sz val="9.75"/>
        <color rgb="FF000000"/>
        <rFont val="Calibri"/>
        <family val="2"/>
      </rPr>
      <t>2、合并展示</t>
    </r>
  </si>
  <si>
    <r>
      <rPr>
        <sz val="9.75"/>
        <color rgb="FF000000"/>
        <rFont val="Calibri"/>
        <family val="2"/>
      </rPr>
      <t>1、计算方式：</t>
    </r>
    <r>
      <rPr>
        <sz val="9.75"/>
        <color rgb="FFD83931"/>
        <rFont val="Calibri"/>
        <family val="2"/>
      </rPr>
      <t xml:space="preserve">ad format budget/media channel budget
</t>
    </r>
    <r>
      <rPr>
        <sz val="9.75"/>
        <color rgb="FF000000"/>
        <rFont val="Calibri"/>
        <family val="2"/>
      </rPr>
      <t>2、需要输出公式</t>
    </r>
  </si>
  <si>
    <t>Media</t>
  </si>
  <si>
    <t xml:space="preserve">Media Channel </t>
  </si>
  <si>
    <t>Marketing Funnel</t>
  </si>
  <si>
    <t>Ad format</t>
  </si>
  <si>
    <t xml:space="preserve"> Creative</t>
  </si>
  <si>
    <t>Key Measurement</t>
  </si>
  <si>
    <t>cpv/cpe</t>
  </si>
  <si>
    <t>Meta</t>
  </si>
  <si>
    <t>FB
 IG
 FB&amp;IG
平均值</t>
  </si>
  <si>
    <t>Awareness</t>
  </si>
  <si>
    <t>Image&amp;Video Link Ads</t>
  </si>
  <si>
    <t>Image&amp;Video</t>
  </si>
  <si>
    <t>CPM</t>
  </si>
  <si>
    <t>cpe</t>
  </si>
  <si>
    <t>Consideration</t>
  </si>
  <si>
    <t>Video Views</t>
  </si>
  <si>
    <t>Engagement</t>
  </si>
  <si>
    <t>Video Link Ads</t>
  </si>
  <si>
    <t>Video</t>
  </si>
  <si>
    <t>CPV</t>
  </si>
  <si>
    <t>cpv</t>
  </si>
  <si>
    <t>Traffic</t>
  </si>
  <si>
    <t>CPC</t>
  </si>
  <si>
    <t>Image</t>
  </si>
  <si>
    <t>Conversion</t>
  </si>
  <si>
    <t>ASC</t>
  </si>
  <si>
    <t>CPA</t>
  </si>
  <si>
    <t>Text</t>
  </si>
  <si>
    <t>Catalogue</t>
  </si>
  <si>
    <t>CPAS-Collection</t>
  </si>
  <si>
    <t>Feed</t>
  </si>
  <si>
    <t>Google</t>
  </si>
  <si>
    <t>GG</t>
  </si>
  <si>
    <t>GDN(CPM)</t>
  </si>
  <si>
    <t>GDN(CPC)</t>
  </si>
  <si>
    <t>Search</t>
  </si>
  <si>
    <t>Demand Gen</t>
  </si>
  <si>
    <t>Performance Max</t>
  </si>
  <si>
    <t>Product Listing Ads(PLA)</t>
  </si>
  <si>
    <t>YTB</t>
  </si>
  <si>
    <t>Masthead(CPM)</t>
  </si>
  <si>
    <t>YouTube Select</t>
  </si>
  <si>
    <t>VRC 2.0</t>
  </si>
  <si>
    <t>Non-skippable reach</t>
  </si>
  <si>
    <t>VVC</t>
  </si>
  <si>
    <t>TikTok</t>
  </si>
  <si>
    <t>TT</t>
  </si>
  <si>
    <t>Reach</t>
  </si>
  <si>
    <t>Brand</t>
  </si>
  <si>
    <t>Mi</t>
  </si>
  <si>
    <t>POCO</t>
  </si>
  <si>
    <t>KPI</t>
  </si>
  <si>
    <t>Impression</t>
  </si>
  <si>
    <t>Clicks</t>
  </si>
  <si>
    <t>Region</t>
  </si>
  <si>
    <t>Country</t>
  </si>
  <si>
    <t>WE</t>
  </si>
  <si>
    <t>西欧</t>
  </si>
  <si>
    <t>FR</t>
  </si>
  <si>
    <t>France</t>
  </si>
  <si>
    <t>法国</t>
  </si>
  <si>
    <t>DE</t>
  </si>
  <si>
    <t>Germany</t>
  </si>
  <si>
    <t>德国</t>
  </si>
  <si>
    <t>IT</t>
  </si>
  <si>
    <t>Italy</t>
  </si>
  <si>
    <t>意大利</t>
  </si>
  <si>
    <t>ES</t>
  </si>
  <si>
    <t>Spain</t>
  </si>
  <si>
    <t>西班牙</t>
  </si>
  <si>
    <t>UK</t>
  </si>
  <si>
    <t>United Kingdom</t>
  </si>
  <si>
    <t>英国</t>
  </si>
  <si>
    <t>GB</t>
  </si>
  <si>
    <t>PT</t>
  </si>
  <si>
    <t>Portugal</t>
  </si>
  <si>
    <t>葡萄牙</t>
  </si>
  <si>
    <t>NL</t>
  </si>
  <si>
    <t>Netherlands</t>
  </si>
  <si>
    <t>荷兰</t>
  </si>
  <si>
    <t>BE</t>
  </si>
  <si>
    <t>Belgium</t>
  </si>
  <si>
    <t>比利时</t>
  </si>
  <si>
    <t>CEE&amp;Nordic</t>
  </si>
  <si>
    <t>东北欧</t>
  </si>
  <si>
    <t>SE</t>
  </si>
  <si>
    <t>Sweden</t>
  </si>
  <si>
    <t>瑞典</t>
  </si>
  <si>
    <t>AT</t>
  </si>
  <si>
    <t>Austria</t>
  </si>
  <si>
    <t>奥地利</t>
  </si>
  <si>
    <t>PL</t>
  </si>
  <si>
    <t>Poland</t>
  </si>
  <si>
    <t>波兰</t>
  </si>
  <si>
    <t>DK</t>
  </si>
  <si>
    <t>Denmark</t>
  </si>
  <si>
    <t>丹麦</t>
  </si>
  <si>
    <t>HU</t>
  </si>
  <si>
    <t>Hungary</t>
  </si>
  <si>
    <t>匈牙利</t>
  </si>
  <si>
    <t>CZ</t>
  </si>
  <si>
    <t>Czech Republic</t>
  </si>
  <si>
    <t>捷克</t>
  </si>
  <si>
    <t>SI</t>
  </si>
  <si>
    <t>Slovenia</t>
  </si>
  <si>
    <t>斯洛文尼亚</t>
  </si>
  <si>
    <t>RO</t>
  </si>
  <si>
    <t>Romania</t>
  </si>
  <si>
    <t>罗马尼亚</t>
  </si>
  <si>
    <t>FI</t>
  </si>
  <si>
    <t>Finland</t>
  </si>
  <si>
    <t>芬兰</t>
  </si>
  <si>
    <t>GR</t>
  </si>
  <si>
    <t>Greece</t>
  </si>
  <si>
    <t>希腊</t>
  </si>
  <si>
    <t>SK</t>
  </si>
  <si>
    <t>Slovakia</t>
  </si>
  <si>
    <t>斯洛伐克</t>
  </si>
  <si>
    <t>HR</t>
  </si>
  <si>
    <t>Croatia</t>
  </si>
  <si>
    <t>克罗地亚</t>
  </si>
  <si>
    <t>RS</t>
  </si>
  <si>
    <t>Serbia</t>
  </si>
  <si>
    <t>塞尔维亚</t>
  </si>
  <si>
    <t>BG</t>
  </si>
  <si>
    <t>Bulgaria</t>
  </si>
  <si>
    <t>保加利亚</t>
  </si>
  <si>
    <t>MK</t>
  </si>
  <si>
    <t>North Macedonia</t>
  </si>
  <si>
    <t>北马其顿</t>
  </si>
  <si>
    <t>BIH</t>
  </si>
  <si>
    <t>Bosnia and Herzegovina</t>
  </si>
  <si>
    <t>波黑</t>
  </si>
  <si>
    <t>BA</t>
  </si>
  <si>
    <t>SEA</t>
  </si>
  <si>
    <t>TH</t>
  </si>
  <si>
    <t>Thailand</t>
  </si>
  <si>
    <t>泰国</t>
  </si>
  <si>
    <t>MY</t>
  </si>
  <si>
    <t>Malaysia</t>
  </si>
  <si>
    <t>马来西亚</t>
  </si>
  <si>
    <t>PH</t>
  </si>
  <si>
    <t>Philippines</t>
  </si>
  <si>
    <t>菲律宾</t>
  </si>
  <si>
    <t>VN</t>
  </si>
  <si>
    <t>Vietnam</t>
  </si>
  <si>
    <t>越南</t>
  </si>
  <si>
    <t>东南亚</t>
  </si>
  <si>
    <t>SG</t>
  </si>
  <si>
    <t>Singapore</t>
  </si>
  <si>
    <t>新加坡</t>
  </si>
  <si>
    <t>ID</t>
  </si>
  <si>
    <t>印尼</t>
  </si>
  <si>
    <t>Indonesia</t>
  </si>
  <si>
    <t>LATAM</t>
  </si>
  <si>
    <t>拉美</t>
  </si>
  <si>
    <t>CL</t>
  </si>
  <si>
    <t>Chile</t>
  </si>
  <si>
    <t>智利</t>
  </si>
  <si>
    <t>PE</t>
  </si>
  <si>
    <t>Peru</t>
  </si>
  <si>
    <t>秘鲁</t>
  </si>
  <si>
    <t>CO</t>
  </si>
  <si>
    <t>Colombia</t>
  </si>
  <si>
    <t>哥伦比亚</t>
  </si>
  <si>
    <t>MX</t>
  </si>
  <si>
    <t>Mexico</t>
  </si>
  <si>
    <t>墨西哥</t>
  </si>
  <si>
    <t>BR</t>
  </si>
  <si>
    <t>Brazil</t>
  </si>
  <si>
    <t>巴西</t>
  </si>
  <si>
    <t>PA</t>
  </si>
  <si>
    <t>Panama</t>
  </si>
  <si>
    <t>巴拿马</t>
  </si>
  <si>
    <t>GT</t>
  </si>
  <si>
    <t>Guatemala</t>
  </si>
  <si>
    <t>圭地马拉</t>
  </si>
  <si>
    <t>CR</t>
  </si>
  <si>
    <t>Costa Rica</t>
  </si>
  <si>
    <t>哥斯达黎加</t>
  </si>
  <si>
    <t>ME</t>
  </si>
  <si>
    <t>中东</t>
  </si>
  <si>
    <t>KSA</t>
  </si>
  <si>
    <t>Saudi Arabia</t>
  </si>
  <si>
    <t>沙特阿拉伯</t>
  </si>
  <si>
    <t>SA</t>
  </si>
  <si>
    <t>UAE</t>
  </si>
  <si>
    <t>United Arab Emirates</t>
  </si>
  <si>
    <t>阿联酋</t>
  </si>
  <si>
    <t>AE</t>
  </si>
  <si>
    <t>PK</t>
  </si>
  <si>
    <t>Pakistan</t>
  </si>
  <si>
    <t>巴基斯坦</t>
  </si>
  <si>
    <t>TR</t>
  </si>
  <si>
    <t>Turkey</t>
  </si>
  <si>
    <t>土耳其</t>
  </si>
  <si>
    <t>IQ</t>
  </si>
  <si>
    <t>Iraq</t>
  </si>
  <si>
    <t>伊拉克</t>
  </si>
  <si>
    <t>Africa</t>
  </si>
  <si>
    <t>非洲</t>
  </si>
  <si>
    <t>MA</t>
  </si>
  <si>
    <t>Morocco</t>
  </si>
  <si>
    <t>摩洛哥</t>
  </si>
  <si>
    <t>EG</t>
  </si>
  <si>
    <t>Egypt</t>
  </si>
  <si>
    <t>埃及</t>
  </si>
  <si>
    <t>ZA</t>
  </si>
  <si>
    <t>South Africa</t>
  </si>
  <si>
    <t>南非</t>
  </si>
  <si>
    <t>KE</t>
  </si>
  <si>
    <t>Kenya</t>
  </si>
  <si>
    <t>肯尼亚</t>
  </si>
  <si>
    <t>DZ</t>
  </si>
  <si>
    <t>Algeria</t>
  </si>
  <si>
    <t>阿尔及利亚</t>
  </si>
  <si>
    <t>CIS</t>
  </si>
  <si>
    <t>独联体</t>
  </si>
  <si>
    <t>AZ</t>
  </si>
  <si>
    <t>Azerbaijan</t>
  </si>
  <si>
    <t>阿塞拜疆</t>
  </si>
  <si>
    <t>KZ</t>
  </si>
  <si>
    <t>Kazakhstan</t>
  </si>
  <si>
    <t>哈萨克斯坦</t>
  </si>
  <si>
    <t>RU</t>
  </si>
  <si>
    <t>Russia</t>
  </si>
  <si>
    <t>俄罗斯</t>
  </si>
  <si>
    <t>UZ</t>
  </si>
  <si>
    <t>Uzbekistan</t>
  </si>
  <si>
    <t>乌兹别克斯坦</t>
  </si>
  <si>
    <t>Stage</t>
  </si>
  <si>
    <t>PREHEAT</t>
  </si>
  <si>
    <t>GLOBAL LAUNCH</t>
  </si>
  <si>
    <t>PREHEAT FOR LOCAL LAUNCH</t>
  </si>
  <si>
    <t>LOCAL LAUNCH</t>
  </si>
  <si>
    <t>PREHEAT FOR EARLY BIRD</t>
  </si>
  <si>
    <t>EARLY BIRD</t>
  </si>
  <si>
    <t>PREHEAT FOR PRE ORDER</t>
  </si>
  <si>
    <t>PRE ORDER</t>
  </si>
  <si>
    <t>PRE SALE</t>
  </si>
  <si>
    <t>PREHEAT FOR OPEN SALE</t>
  </si>
  <si>
    <t>FIRST SALE</t>
  </si>
  <si>
    <t>OPEN SALE</t>
  </si>
  <si>
    <t>FIRST SALE+OPEN SALE</t>
  </si>
  <si>
    <t>SECOND SALE</t>
  </si>
  <si>
    <t>XIAOMI FRIDAY</t>
  </si>
  <si>
    <t>BLACK FRIDAY &amp; CYBER MONDAY</t>
  </si>
  <si>
    <t>XMAS</t>
  </si>
  <si>
    <t>SUSTAIN</t>
  </si>
  <si>
    <t>媒体</t>
  </si>
  <si>
    <t>广告形式</t>
  </si>
  <si>
    <t>投放范围</t>
  </si>
  <si>
    <t>服务费%</t>
  </si>
  <si>
    <t>备注</t>
  </si>
  <si>
    <t>ALL</t>
  </si>
  <si>
    <t>服务费包含所有Google系广告产品，其中DV360等部分广告产品Google官方直接收取平台使用费</t>
  </si>
  <si>
    <t>meta</t>
  </si>
  <si>
    <t/>
  </si>
  <si>
    <t>Twitter</t>
  </si>
  <si>
    <t>Tiktok</t>
  </si>
  <si>
    <t>品牌广告</t>
  </si>
  <si>
    <t>NA, AUNZ</t>
  </si>
  <si>
    <t>SEA, JP, KR, EUI</t>
  </si>
  <si>
    <t>METAP, LATAM, OTHERS</t>
  </si>
  <si>
    <t>竞价广告</t>
  </si>
  <si>
    <t>渠道</t>
  </si>
  <si>
    <t>国家</t>
  </si>
  <si>
    <t>税费</t>
  </si>
  <si>
    <t>India</t>
  </si>
  <si>
    <t>Project</t>
  </si>
  <si>
    <t>Product</t>
  </si>
  <si>
    <t>Media Channel</t>
  </si>
  <si>
    <t>Objective</t>
  </si>
  <si>
    <t>Creative</t>
  </si>
  <si>
    <t>Brief Code</t>
  </si>
  <si>
    <t>BLS Eligibility</t>
  </si>
  <si>
    <t>Start date</t>
  </si>
  <si>
    <t>End date</t>
  </si>
  <si>
    <t>Duration(D)</t>
  </si>
  <si>
    <t>Budget
Allocation</t>
  </si>
  <si>
    <t>Total Budget</t>
  </si>
  <si>
    <t>Ad Budget</t>
  </si>
  <si>
    <t>Service Fee</t>
  </si>
  <si>
    <t>DST Fee</t>
  </si>
  <si>
    <t>Daily Budget</t>
  </si>
  <si>
    <t>Buying Model
Key Measurement</t>
  </si>
  <si>
    <t>Estimated CPM</t>
  </si>
  <si>
    <t>Estimated CPV/CPE</t>
  </si>
  <si>
    <t>Estimated CPC</t>
  </si>
  <si>
    <t>Estimated Impressions</t>
  </si>
  <si>
    <t>Estimated Views</t>
  </si>
  <si>
    <t>Estimated View Rate</t>
  </si>
  <si>
    <t>Estimated Engagements</t>
  </si>
  <si>
    <t>Estimated Engagement Rate</t>
  </si>
  <si>
    <t>Estimated Clicks</t>
  </si>
  <si>
    <t>Estimated Click Through Rate</t>
  </si>
  <si>
    <t>Est. UV - PBI</t>
  </si>
  <si>
    <t>Est. CPUV - PBI</t>
  </si>
  <si>
    <t>Est. Accept Cookie UV - PBI</t>
  </si>
  <si>
    <t xml:space="preserve">Est. CPUV-accept cookie PowerBI </t>
  </si>
  <si>
    <t xml:space="preserve">Est. Paid User - PBI  </t>
  </si>
  <si>
    <t>Est. CPA-PowerBI</t>
  </si>
  <si>
    <t>Estimated CVR-PowerBI</t>
  </si>
  <si>
    <t>1、等于新建时的选择，枚举值见sheet2
2、合并展示</t>
  </si>
  <si>
    <t>1、等于新建时的填写
2、合并展示</t>
  </si>
  <si>
    <t>1、等于新建时用户的选择
2、合并展示</t>
  </si>
  <si>
    <t>1、等于新建时的选择
2、单独展示，无需合并</t>
  </si>
  <si>
    <t>1、等于新建时用户的选择，与media、objective、ad format相关
2、单独展示，无需合并</t>
  </si>
  <si>
    <t>1、等于新建时用户的选择
2、单独展示，无需合并</t>
  </si>
  <si>
    <t>1、根据marketing funnel做映射</t>
  </si>
  <si>
    <t>1、等于新建时用户的选择
2、与ad format相关</t>
  </si>
  <si>
    <t>1、等于新建时用户的选择</t>
  </si>
  <si>
    <t>1、等于用户新建时的填写
2、单独展示，无需合并</t>
  </si>
  <si>
    <t>1、等于新建时用户在stage时的设置</t>
  </si>
  <si>
    <t>1、计算方式：=DATEDIF(L2,M2,"d")+1
2、需要输出公式</t>
  </si>
  <si>
    <t>1、相应的ad format的total budget
2、不输出公式</t>
  </si>
  <si>
    <t>1、计算公式=Total budget/（1+service fee+dst fee）
2、输出公式</t>
  </si>
  <si>
    <t>1、计算公式=total budget-ad budget-dst fee
2、输出公式</t>
  </si>
  <si>
    <t>1、部分国家需要，计算公式=ad budget*该国家的税费比例
2、输出公式</t>
  </si>
  <si>
    <t>1、计算公式=Ad Budget/Duration(D)
2、需要输出公式</t>
  </si>
  <si>
    <t>1、等于ad format对应的值</t>
  </si>
  <si>
    <t>1、展示成本（Spend / Impression * 1000）
2、不需要输出成公式</t>
  </si>
  <si>
    <t>1、视频观看成本（Spend / Video Views ） 或 互动成本（Spend / Engagement ） 
2、不用输出成公式</t>
  </si>
  <si>
    <t>1、点击成本（Spend / Click）
2、不用输出成公式</t>
  </si>
  <si>
    <t>1、计算公式=Ad Budget/cpm*1000
2、需要输出公式</t>
  </si>
  <si>
    <t>1、计算公式=Ad Budget/cpv*1000
2、需要输出公式</t>
  </si>
  <si>
    <t>1、计算公式=views/impressions*1000
2、需要输出公式</t>
  </si>
  <si>
    <t>1、计算公式=Ad Budget/cpe*1000
2、需要输出公式</t>
  </si>
  <si>
    <t>1、计算公式=engagements/impressions*1000
2、需要输出公式</t>
  </si>
  <si>
    <t>1、计算公式=Ad Budget/cpc*1000
2、需要输出公式</t>
  </si>
  <si>
    <t>1、页面不用显示，但是导出需要输出该列，内容为空</t>
  </si>
  <si>
    <t>1、如果在相应的日期里，则该值=Daily Budget
2、需要输出公式</t>
  </si>
  <si>
    <t>Media-TTL：</t>
  </si>
  <si>
    <t>1、计算方式：sum（该media下所有的channel的本列值）
2、需要输出公式</t>
  </si>
  <si>
    <t>All Media TTL ：</t>
  </si>
  <si>
    <t>1、计算方式：sum（所有的media-ttl的本列值）
2、需要输出公式</t>
  </si>
  <si>
    <t>M12M12A</t>
  </si>
  <si>
    <t>O12UO12</t>
  </si>
  <si>
    <t>FB&amp;IG</t>
  </si>
  <si>
    <t>Early Bird</t>
  </si>
  <si>
    <t>B25333</t>
  </si>
  <si>
    <t>-</t>
  </si>
  <si>
    <t>Video View</t>
  </si>
  <si>
    <t>#REF!</t>
  </si>
  <si>
    <t>Open Sale</t>
  </si>
  <si>
    <t>#DIV/0!</t>
  </si>
  <si>
    <t>Meta - TTL:</t>
  </si>
  <si>
    <t>DGC</t>
  </si>
  <si>
    <t>Pmax</t>
  </si>
  <si>
    <t>Discovery</t>
  </si>
  <si>
    <t>Image,Text,Video</t>
  </si>
  <si>
    <t>Pmax(O2O)</t>
  </si>
  <si>
    <t>Google - TTL:</t>
  </si>
  <si>
    <t>awareness</t>
  </si>
  <si>
    <t>Tiktok - TTL:</t>
  </si>
  <si>
    <t>All Media TTL :</t>
  </si>
  <si>
    <t>Objective</t>
    <phoneticPr fontId="25" type="noConversion"/>
  </si>
  <si>
    <t>countryCode</t>
  </si>
  <si>
    <t>countryNameCN</t>
    <phoneticPr fontId="25" type="noConversion"/>
  </si>
  <si>
    <t>countryNameEn</t>
  </si>
  <si>
    <t>regionCode</t>
  </si>
  <si>
    <t>regionNameCN</t>
  </si>
  <si>
    <t>mpCode</t>
  </si>
  <si>
    <t>CA</t>
    <phoneticPr fontId="25" type="noConversion"/>
  </si>
  <si>
    <t>FR</t>
    <phoneticPr fontId="25" type="noConversion"/>
  </si>
  <si>
    <t xml:space="preserve">UK </t>
    <phoneticPr fontId="25" type="noConversion"/>
  </si>
  <si>
    <t>IT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</si>
</sst>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$#,##0.00;[Red]\(\$#,##0.00\)"/>
  </numFmts>
  <fonts count="27" x14ac:knownFonts="1">
    <font>
      <sz val="10"/>
      <color theme="1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1F2329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F54A45"/>
      <name val="等线"/>
      <family val="2"/>
      <scheme val="minor"/>
    </font>
    <font>
      <sz val="9.75"/>
      <color rgb="FFFFFFFF"/>
      <name val="等线"/>
      <family val="2"/>
      <scheme val="minor"/>
    </font>
    <font>
      <sz val="7.5"/>
      <color rgb="FF000000"/>
      <name val="等线"/>
      <family val="2"/>
      <scheme val="minor"/>
    </font>
    <font>
      <sz val="9.75"/>
      <color rgb="FFFF8800"/>
      <name val="等线"/>
      <family val="2"/>
      <scheme val="minor"/>
    </font>
    <font>
      <sz val="10.5"/>
      <color rgb="FFFF8800"/>
      <name val="等线"/>
      <family val="2"/>
      <scheme val="minor"/>
    </font>
    <font>
      <sz val="9"/>
      <color rgb="FF000000"/>
      <name val="等线"/>
      <family val="2"/>
      <scheme val="minor"/>
    </font>
    <font>
      <b/>
      <i/>
      <sz val="9.75"/>
      <color rgb="FFFFFFFF"/>
      <name val="等线"/>
      <family val="2"/>
      <scheme val="minor"/>
    </font>
    <font>
      <sz val="9.75"/>
      <color rgb="FFD83931"/>
      <name val="等线"/>
      <family val="2"/>
      <scheme val="minor"/>
    </font>
    <font>
      <b/>
      <sz val="9.75"/>
      <color rgb="FF000000"/>
      <name val="等线"/>
      <family val="2"/>
      <scheme val="minor"/>
    </font>
    <font>
      <b/>
      <sz val="10.5"/>
      <color rgb="FF000000"/>
      <name val="等线"/>
      <family val="2"/>
      <scheme val="minor"/>
    </font>
    <font>
      <b/>
      <sz val="12"/>
      <color rgb="FF000000"/>
      <name val="等线"/>
      <family val="2"/>
      <scheme val="minor"/>
    </font>
    <font>
      <i/>
      <sz val="9.75"/>
      <color rgb="FF000000"/>
      <name val="等线"/>
      <family val="2"/>
      <scheme val="minor"/>
    </font>
    <font>
      <b/>
      <sz val="12"/>
      <color rgb="FFFFFFFF"/>
      <name val="等线"/>
      <family val="2"/>
      <scheme val="minor"/>
    </font>
    <font>
      <b/>
      <sz val="10.5"/>
      <color rgb="FFFFFFFF"/>
      <name val="等线"/>
      <family val="2"/>
      <scheme val="minor"/>
    </font>
    <font>
      <b/>
      <sz val="9.75"/>
      <color rgb="FFFFFFFF"/>
      <name val="等线"/>
      <family val="2"/>
      <scheme val="minor"/>
    </font>
    <font>
      <i/>
      <sz val="9.75"/>
      <color rgb="FFFFFFFF"/>
      <name val="等线"/>
      <family val="2"/>
      <scheme val="minor"/>
    </font>
    <font>
      <b/>
      <sz val="9.75"/>
      <color rgb="FF1F2329"/>
      <name val="等线"/>
      <family val="2"/>
      <scheme val="minor"/>
    </font>
    <font>
      <b/>
      <i/>
      <sz val="9.75"/>
      <color rgb="FF000000"/>
      <name val="等线"/>
      <family val="2"/>
      <scheme val="minor"/>
    </font>
    <font>
      <sz val="9.75"/>
      <color rgb="FFD83931"/>
      <name val="Calibri"/>
      <family val="2"/>
    </font>
    <font>
      <sz val="9.75"/>
      <color rgb="FF000000"/>
      <name val="Calibri"/>
      <family val="2"/>
    </font>
    <font>
      <sz val="9.75"/>
      <color rgb="FF1F2329"/>
      <name val="Calibri"/>
      <family val="2"/>
    </font>
    <font>
      <sz val="9"/>
      <name val="等线"/>
      <family val="3"/>
      <charset val="134"/>
      <scheme val="minor"/>
    </font>
    <font>
      <b/>
      <sz val="7.5"/>
      <color rgb="FF000000"/>
      <name val="等线"/>
      <family val="3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1F4E78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C4587"/>
      </patternFill>
    </fill>
    <fill>
      <patternFill patternType="solid">
        <fgColor rgb="FFFFF258"/>
      </patternFill>
    </fill>
    <fill>
      <patternFill patternType="solid">
        <fgColor rgb="FF1F2329"/>
      </patternFill>
    </fill>
    <fill>
      <patternFill patternType="solid">
        <fgColor rgb="FF1F2329"/>
      </patternFill>
    </fill>
    <fill>
      <patternFill patternType="solid">
        <fgColor rgb="FF1F2329"/>
      </patternFill>
    </fill>
    <fill>
      <patternFill patternType="solid">
        <fgColor rgb="FF1F2329"/>
      </patternFill>
    </fill>
    <fill>
      <patternFill patternType="solid">
        <fgColor rgb="FF1F2329"/>
      </patternFill>
    </fill>
    <fill>
      <patternFill patternType="solid">
        <fgColor rgb="FFE6B8AF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9FC5E8"/>
      </patternFill>
    </fill>
    <fill>
      <patternFill patternType="solid">
        <fgColor rgb="FFD9D2E9"/>
      </patternFill>
    </fill>
    <fill>
      <patternFill patternType="solid">
        <fgColor rgb="FFB7B7B7"/>
      </patternFill>
    </fill>
    <fill>
      <patternFill patternType="solid">
        <fgColor rgb="FFB7B7B7"/>
      </patternFill>
    </fill>
    <fill>
      <patternFill patternType="solid">
        <fgColor rgb="FFB7B7B7"/>
      </patternFill>
    </fill>
    <fill>
      <patternFill patternType="solid">
        <fgColor rgb="FFB7B7B7"/>
      </patternFill>
    </fill>
    <fill>
      <patternFill patternType="solid">
        <fgColor rgb="FFB7B7B7"/>
      </patternFill>
    </fill>
    <fill>
      <patternFill patternType="solid">
        <fgColor rgb="FFC9DAF8"/>
      </patternFill>
    </fill>
    <fill>
      <patternFill patternType="solid">
        <fgColor rgb="FFC9DAF8"/>
      </patternFill>
    </fill>
    <fill>
      <patternFill patternType="solid">
        <fgColor rgb="FFC9DAF8"/>
      </patternFill>
    </fill>
    <fill>
      <patternFill patternType="solid">
        <fgColor rgb="FFB7B7B7"/>
      </patternFill>
    </fill>
    <fill>
      <patternFill patternType="solid">
        <fgColor rgb="FFB7B7B7"/>
      </patternFill>
    </fill>
    <fill>
      <patternFill patternType="solid">
        <fgColor rgb="FF000000"/>
      </patternFill>
    </fill>
    <fill>
      <patternFill patternType="solid">
        <fgColor rgb="FF0F1419"/>
      </patternFill>
    </fill>
    <fill>
      <patternFill patternType="solid">
        <fgColor rgb="FF0F1419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B7B7B7"/>
      </patternFill>
    </fill>
  </fills>
  <borders count="126"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NumberFormat="0" applyFont="0" applyFill="0" applyBorder="0" applyProtection="0"/>
  </cellStyleXfs>
  <cellXfs count="13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5" fillId="5" borderId="20" xfId="0" applyFont="1" applyFill="1" applyBorder="1" applyAlignment="1">
      <alignment horizontal="center" wrapText="1"/>
    </xf>
    <xf numFmtId="0" fontId="3" fillId="0" borderId="21" xfId="0" applyFont="1" applyBorder="1" applyAlignment="1">
      <alignment vertical="center" wrapText="1"/>
    </xf>
    <xf numFmtId="0" fontId="6" fillId="0" borderId="22" xfId="0" applyFont="1" applyBorder="1" applyAlignment="1">
      <alignment horizontal="center" wrapText="1"/>
    </xf>
    <xf numFmtId="0" fontId="6" fillId="0" borderId="23" xfId="0" applyFont="1" applyBorder="1" applyAlignment="1">
      <alignment horizontal="center" wrapText="1"/>
    </xf>
    <xf numFmtId="0" fontId="6" fillId="0" borderId="24" xfId="0" applyFont="1" applyBorder="1" applyAlignment="1">
      <alignment horizontal="center" wrapText="1"/>
    </xf>
    <xf numFmtId="0" fontId="6" fillId="6" borderId="25" xfId="0" applyFont="1" applyFill="1" applyBorder="1" applyAlignment="1">
      <alignment horizontal="center" wrapText="1"/>
    </xf>
    <xf numFmtId="0" fontId="6" fillId="7" borderId="26" xfId="0" applyFont="1" applyFill="1" applyBorder="1" applyAlignment="1">
      <alignment horizontal="center" wrapText="1"/>
    </xf>
    <xf numFmtId="0" fontId="6" fillId="0" borderId="27" xfId="0" applyFont="1" applyBorder="1" applyAlignment="1">
      <alignment horizontal="center" wrapText="1"/>
    </xf>
    <xf numFmtId="0" fontId="7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wrapText="1"/>
    </xf>
    <xf numFmtId="0" fontId="5" fillId="8" borderId="33" xfId="0" applyFont="1" applyFill="1" applyBorder="1" applyAlignment="1">
      <alignment horizontal="center" wrapText="1"/>
    </xf>
    <xf numFmtId="0" fontId="1" fillId="0" borderId="34" xfId="0" applyFont="1" applyBorder="1" applyAlignment="1">
      <alignment vertical="top" wrapText="1"/>
    </xf>
    <xf numFmtId="9" fontId="1" fillId="0" borderId="35" xfId="0" applyNumberFormat="1" applyFont="1" applyBorder="1" applyAlignment="1">
      <alignment vertical="top" wrapText="1"/>
    </xf>
    <xf numFmtId="0" fontId="1" fillId="9" borderId="37" xfId="0" applyFont="1" applyFill="1" applyBorder="1" applyAlignment="1">
      <alignment vertical="top" wrapText="1"/>
    </xf>
    <xf numFmtId="0" fontId="0" fillId="0" borderId="38" xfId="0" applyBorder="1"/>
    <xf numFmtId="9" fontId="3" fillId="0" borderId="39" xfId="0" applyNumberFormat="1" applyFont="1" applyBorder="1" applyAlignment="1">
      <alignment vertical="center"/>
    </xf>
    <xf numFmtId="0" fontId="1" fillId="0" borderId="40" xfId="0" applyFont="1" applyBorder="1" applyAlignment="1">
      <alignment vertical="top" wrapText="1"/>
    </xf>
    <xf numFmtId="10" fontId="3" fillId="0" borderId="41" xfId="0" applyNumberFormat="1" applyFont="1" applyBorder="1" applyAlignment="1">
      <alignment vertical="center"/>
    </xf>
    <xf numFmtId="0" fontId="10" fillId="10" borderId="42" xfId="0" applyFont="1" applyFill="1" applyBorder="1" applyAlignment="1">
      <alignment horizontal="center" vertical="center" wrapText="1"/>
    </xf>
    <xf numFmtId="58" fontId="10" fillId="11" borderId="43" xfId="0" applyNumberFormat="1" applyFont="1" applyFill="1" applyBorder="1" applyAlignment="1">
      <alignment horizontal="center" vertical="center" wrapText="1"/>
    </xf>
    <xf numFmtId="58" fontId="10" fillId="12" borderId="44" xfId="0" applyNumberFormat="1" applyFont="1" applyFill="1" applyBorder="1" applyAlignment="1">
      <alignment horizontal="center" vertical="center" wrapText="1"/>
    </xf>
    <xf numFmtId="0" fontId="10" fillId="13" borderId="45" xfId="0" applyFont="1" applyFill="1" applyBorder="1" applyAlignment="1">
      <alignment horizontal="center" vertical="center" wrapText="1"/>
    </xf>
    <xf numFmtId="0" fontId="10" fillId="14" borderId="46" xfId="0" applyFont="1" applyFill="1" applyBorder="1" applyAlignment="1">
      <alignment horizontal="center" vertical="center" wrapText="1"/>
    </xf>
    <xf numFmtId="0" fontId="11" fillId="0" borderId="47" xfId="0" applyFont="1" applyBorder="1" applyAlignment="1">
      <alignment vertical="center" wrapText="1"/>
    </xf>
    <xf numFmtId="176" fontId="1" fillId="0" borderId="48" xfId="0" applyNumberFormat="1" applyFont="1" applyBorder="1" applyAlignment="1">
      <alignment horizontal="center" vertical="center" wrapText="1"/>
    </xf>
    <xf numFmtId="0" fontId="1" fillId="0" borderId="49" xfId="0" applyFont="1" applyBorder="1" applyAlignment="1">
      <alignment vertical="center" wrapText="1"/>
    </xf>
    <xf numFmtId="0" fontId="12" fillId="0" borderId="50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176" fontId="12" fillId="0" borderId="53" xfId="0" applyNumberFormat="1" applyFont="1" applyBorder="1" applyAlignment="1">
      <alignment horizontal="center" vertical="center" wrapText="1"/>
    </xf>
    <xf numFmtId="176" fontId="1" fillId="0" borderId="54" xfId="0" applyNumberFormat="1" applyFont="1" applyBorder="1" applyAlignment="1">
      <alignment horizontal="center" wrapText="1"/>
    </xf>
    <xf numFmtId="0" fontId="12" fillId="15" borderId="55" xfId="0" applyFont="1" applyFill="1" applyBorder="1" applyAlignment="1">
      <alignment horizontal="center" vertical="center" wrapText="1"/>
    </xf>
    <xf numFmtId="10" fontId="1" fillId="0" borderId="58" xfId="0" applyNumberFormat="1" applyFont="1" applyBorder="1" applyAlignment="1">
      <alignment horizontal="center" vertical="center" wrapText="1"/>
    </xf>
    <xf numFmtId="14" fontId="15" fillId="0" borderId="60" xfId="0" applyNumberFormat="1" applyFont="1" applyBorder="1" applyAlignment="1">
      <alignment horizontal="center" vertical="center" wrapText="1"/>
    </xf>
    <xf numFmtId="0" fontId="15" fillId="0" borderId="61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wrapText="1"/>
    </xf>
    <xf numFmtId="9" fontId="10" fillId="0" borderId="64" xfId="0" applyNumberFormat="1" applyFont="1" applyBorder="1" applyAlignment="1">
      <alignment horizontal="center" vertical="center" wrapText="1"/>
    </xf>
    <xf numFmtId="0" fontId="5" fillId="0" borderId="65" xfId="0" applyFont="1" applyBorder="1" applyAlignment="1">
      <alignment vertical="center" wrapText="1"/>
    </xf>
    <xf numFmtId="0" fontId="10" fillId="0" borderId="66" xfId="0" applyFont="1" applyBorder="1" applyAlignment="1">
      <alignment horizontal="center" vertical="center" wrapText="1"/>
    </xf>
    <xf numFmtId="176" fontId="10" fillId="0" borderId="67" xfId="0" applyNumberFormat="1" applyFont="1" applyBorder="1" applyAlignment="1">
      <alignment horizontal="center" vertical="center" wrapText="1"/>
    </xf>
    <xf numFmtId="0" fontId="10" fillId="0" borderId="68" xfId="0" applyFont="1" applyBorder="1" applyAlignment="1">
      <alignment vertical="center" wrapText="1"/>
    </xf>
    <xf numFmtId="0" fontId="17" fillId="0" borderId="69" xfId="0" applyFont="1" applyBorder="1" applyAlignment="1">
      <alignment horizontal="center" vertical="center" wrapText="1"/>
    </xf>
    <xf numFmtId="0" fontId="18" fillId="0" borderId="71" xfId="0" applyFont="1" applyBorder="1" applyAlignment="1">
      <alignment horizontal="center" vertical="center" wrapText="1"/>
    </xf>
    <xf numFmtId="176" fontId="5" fillId="0" borderId="72" xfId="0" applyNumberFormat="1" applyFont="1" applyBorder="1" applyAlignment="1">
      <alignment horizontal="center" wrapText="1"/>
    </xf>
    <xf numFmtId="0" fontId="5" fillId="0" borderId="73" xfId="0" applyFont="1" applyBorder="1" applyAlignment="1">
      <alignment horizontal="center" vertical="center" wrapText="1"/>
    </xf>
    <xf numFmtId="176" fontId="18" fillId="0" borderId="74" xfId="0" applyNumberFormat="1" applyFont="1" applyBorder="1" applyAlignment="1">
      <alignment horizontal="center" vertical="center" wrapText="1"/>
    </xf>
    <xf numFmtId="176" fontId="5" fillId="0" borderId="75" xfId="0" applyNumberFormat="1" applyFont="1" applyBorder="1" applyAlignment="1">
      <alignment horizontal="center" vertical="center" wrapText="1"/>
    </xf>
    <xf numFmtId="14" fontId="19" fillId="0" borderId="76" xfId="0" applyNumberFormat="1" applyFont="1" applyBorder="1" applyAlignment="1">
      <alignment horizontal="center" vertical="center" wrapText="1"/>
    </xf>
    <xf numFmtId="0" fontId="5" fillId="0" borderId="77" xfId="0" applyFont="1" applyBorder="1" applyAlignment="1">
      <alignment horizontal="center" wrapText="1"/>
    </xf>
    <xf numFmtId="0" fontId="19" fillId="0" borderId="78" xfId="0" applyFont="1" applyBorder="1" applyAlignment="1">
      <alignment horizontal="center" vertical="center" wrapText="1"/>
    </xf>
    <xf numFmtId="10" fontId="5" fillId="0" borderId="79" xfId="0" applyNumberFormat="1" applyFont="1" applyBorder="1" applyAlignment="1">
      <alignment horizontal="center" vertical="center" wrapText="1"/>
    </xf>
    <xf numFmtId="176" fontId="20" fillId="0" borderId="80" xfId="0" applyNumberFormat="1" applyFont="1" applyBorder="1" applyAlignment="1">
      <alignment horizontal="center" vertical="center" wrapText="1"/>
    </xf>
    <xf numFmtId="0" fontId="12" fillId="0" borderId="81" xfId="0" applyFont="1" applyBorder="1" applyAlignment="1">
      <alignment horizontal="center" wrapText="1"/>
    </xf>
    <xf numFmtId="14" fontId="21" fillId="0" borderId="82" xfId="0" applyNumberFormat="1" applyFont="1" applyBorder="1" applyAlignment="1">
      <alignment horizontal="center" vertical="center" wrapText="1"/>
    </xf>
    <xf numFmtId="0" fontId="21" fillId="0" borderId="83" xfId="0" applyFont="1" applyBorder="1" applyAlignment="1">
      <alignment horizontal="center" vertical="center" wrapText="1"/>
    </xf>
    <xf numFmtId="0" fontId="12" fillId="19" borderId="84" xfId="0" applyFont="1" applyFill="1" applyBorder="1" applyAlignment="1">
      <alignment horizontal="center" vertical="center" wrapText="1"/>
    </xf>
    <xf numFmtId="10" fontId="12" fillId="0" borderId="85" xfId="0" applyNumberFormat="1" applyFont="1" applyBorder="1" applyAlignment="1">
      <alignment horizontal="center" vertical="center" wrapText="1"/>
    </xf>
    <xf numFmtId="3" fontId="1" fillId="0" borderId="86" xfId="0" applyNumberFormat="1" applyFont="1" applyBorder="1" applyAlignment="1">
      <alignment horizontal="center" vertical="center" wrapText="1"/>
    </xf>
    <xf numFmtId="10" fontId="18" fillId="0" borderId="87" xfId="0" applyNumberFormat="1" applyFont="1" applyBorder="1" applyAlignment="1">
      <alignment horizontal="center" vertical="center" wrapText="1"/>
    </xf>
    <xf numFmtId="176" fontId="18" fillId="0" borderId="88" xfId="0" applyNumberFormat="1" applyFont="1" applyBorder="1" applyAlignment="1">
      <alignment horizontal="center" wrapText="1"/>
    </xf>
    <xf numFmtId="0" fontId="18" fillId="0" borderId="89" xfId="0" applyFont="1" applyBorder="1" applyAlignment="1">
      <alignment horizontal="center" wrapText="1"/>
    </xf>
    <xf numFmtId="3" fontId="18" fillId="0" borderId="90" xfId="0" applyNumberFormat="1" applyFont="1" applyBorder="1" applyAlignment="1">
      <alignment horizontal="center" vertical="center" wrapText="1"/>
    </xf>
    <xf numFmtId="14" fontId="10" fillId="0" borderId="91" xfId="0" applyNumberFormat="1" applyFont="1" applyBorder="1" applyAlignment="1">
      <alignment horizontal="center" vertical="center" wrapText="1"/>
    </xf>
    <xf numFmtId="3" fontId="5" fillId="0" borderId="92" xfId="0" applyNumberFormat="1" applyFont="1" applyBorder="1" applyAlignment="1">
      <alignment horizontal="center" vertical="center" wrapText="1"/>
    </xf>
    <xf numFmtId="0" fontId="5" fillId="0" borderId="93" xfId="0" applyFont="1" applyBorder="1" applyAlignment="1">
      <alignment wrapText="1"/>
    </xf>
    <xf numFmtId="3" fontId="12" fillId="0" borderId="94" xfId="0" applyNumberFormat="1" applyFont="1" applyBorder="1" applyAlignment="1">
      <alignment horizontal="center" vertical="center" wrapText="1"/>
    </xf>
    <xf numFmtId="176" fontId="12" fillId="0" borderId="95" xfId="0" applyNumberFormat="1" applyFont="1" applyBorder="1" applyAlignment="1">
      <alignment horizontal="center" wrapText="1"/>
    </xf>
    <xf numFmtId="0" fontId="12" fillId="20" borderId="96" xfId="0" applyFont="1" applyFill="1" applyBorder="1" applyAlignment="1">
      <alignment horizontal="center" vertical="center" wrapText="1"/>
    </xf>
    <xf numFmtId="0" fontId="1" fillId="21" borderId="97" xfId="0" applyFont="1" applyFill="1" applyBorder="1" applyAlignment="1">
      <alignment vertical="center" wrapText="1"/>
    </xf>
    <xf numFmtId="0" fontId="21" fillId="22" borderId="98" xfId="0" applyFont="1" applyFill="1" applyBorder="1" applyAlignment="1">
      <alignment horizontal="center" vertical="center" wrapText="1"/>
    </xf>
    <xf numFmtId="176" fontId="21" fillId="23" borderId="99" xfId="0" applyNumberFormat="1" applyFont="1" applyFill="1" applyBorder="1" applyAlignment="1">
      <alignment horizontal="center" vertical="center" wrapText="1"/>
    </xf>
    <xf numFmtId="9" fontId="21" fillId="24" borderId="100" xfId="0" applyNumberFormat="1" applyFont="1" applyFill="1" applyBorder="1" applyAlignment="1">
      <alignment horizontal="center" vertical="center" wrapText="1"/>
    </xf>
    <xf numFmtId="0" fontId="21" fillId="25" borderId="101" xfId="0" applyFont="1" applyFill="1" applyBorder="1" applyAlignment="1">
      <alignment vertical="center" wrapText="1"/>
    </xf>
    <xf numFmtId="0" fontId="1" fillId="26" borderId="102" xfId="0" applyFont="1" applyFill="1" applyBorder="1" applyAlignment="1">
      <alignment vertical="center" wrapText="1"/>
    </xf>
    <xf numFmtId="0" fontId="21" fillId="27" borderId="103" xfId="0" applyFont="1" applyFill="1" applyBorder="1" applyAlignment="1">
      <alignment horizontal="center" vertical="center" wrapText="1"/>
    </xf>
    <xf numFmtId="0" fontId="1" fillId="28" borderId="104" xfId="0" applyFont="1" applyFill="1" applyBorder="1" applyAlignment="1">
      <alignment horizontal="center" vertical="center" wrapText="1"/>
    </xf>
    <xf numFmtId="9" fontId="5" fillId="0" borderId="105" xfId="0" applyNumberFormat="1" applyFont="1" applyBorder="1" applyAlignment="1">
      <alignment horizontal="center" wrapText="1"/>
    </xf>
    <xf numFmtId="176" fontId="2" fillId="0" borderId="106" xfId="0" applyNumberFormat="1" applyFont="1" applyBorder="1" applyAlignment="1">
      <alignment horizontal="center" vertical="center" wrapText="1"/>
    </xf>
    <xf numFmtId="0" fontId="2" fillId="0" borderId="107" xfId="0" applyFont="1" applyBorder="1" applyAlignment="1">
      <alignment vertical="center" wrapText="1"/>
    </xf>
    <xf numFmtId="176" fontId="12" fillId="29" borderId="108" xfId="0" applyNumberFormat="1" applyFont="1" applyFill="1" applyBorder="1" applyAlignment="1">
      <alignment horizontal="center" vertical="center" wrapText="1"/>
    </xf>
    <xf numFmtId="3" fontId="12" fillId="30" borderId="109" xfId="0" applyNumberFormat="1" applyFont="1" applyFill="1" applyBorder="1" applyAlignment="1">
      <alignment horizontal="center" vertical="center" wrapText="1"/>
    </xf>
    <xf numFmtId="10" fontId="5" fillId="0" borderId="110" xfId="0" applyNumberFormat="1" applyFont="1" applyBorder="1" applyAlignment="1">
      <alignment vertical="center" wrapText="1"/>
    </xf>
    <xf numFmtId="0" fontId="1" fillId="0" borderId="111" xfId="0" applyFont="1" applyBorder="1" applyAlignment="1">
      <alignment wrapText="1"/>
    </xf>
    <xf numFmtId="0" fontId="5" fillId="0" borderId="112" xfId="0" applyFont="1" applyBorder="1" applyAlignment="1">
      <alignment vertical="center" wrapText="1"/>
    </xf>
    <xf numFmtId="9" fontId="5" fillId="0" borderId="113" xfId="0" applyNumberFormat="1" applyFont="1" applyBorder="1" applyAlignment="1">
      <alignment horizontal="center" vertical="center" wrapText="1"/>
    </xf>
    <xf numFmtId="10" fontId="1" fillId="0" borderId="114" xfId="0" applyNumberFormat="1" applyFont="1" applyBorder="1" applyAlignment="1">
      <alignment vertical="center" wrapText="1"/>
    </xf>
    <xf numFmtId="9" fontId="1" fillId="0" borderId="115" xfId="0" applyNumberFormat="1" applyFont="1" applyBorder="1" applyAlignment="1">
      <alignment horizontal="center" vertical="center" wrapText="1"/>
    </xf>
    <xf numFmtId="0" fontId="1" fillId="0" borderId="116" xfId="0" applyFont="1" applyBorder="1" applyAlignment="1">
      <alignment vertical="center" wrapText="1"/>
    </xf>
    <xf numFmtId="9" fontId="1" fillId="0" borderId="117" xfId="0" applyNumberFormat="1" applyFont="1" applyBorder="1" applyAlignment="1">
      <alignment horizontal="center" wrapText="1"/>
    </xf>
    <xf numFmtId="0" fontId="5" fillId="0" borderId="118" xfId="0" applyFont="1" applyBorder="1" applyAlignment="1">
      <alignment vertical="center" wrapText="1"/>
    </xf>
    <xf numFmtId="0" fontId="10" fillId="31" borderId="119" xfId="0" applyFont="1" applyFill="1" applyBorder="1" applyAlignment="1">
      <alignment horizontal="center" vertical="center" wrapText="1"/>
    </xf>
    <xf numFmtId="58" fontId="10" fillId="32" borderId="120" xfId="0" applyNumberFormat="1" applyFont="1" applyFill="1" applyBorder="1" applyAlignment="1">
      <alignment horizontal="center" vertical="center" wrapText="1"/>
    </xf>
    <xf numFmtId="58" fontId="10" fillId="33" borderId="121" xfId="0" applyNumberFormat="1" applyFont="1" applyFill="1" applyBorder="1" applyAlignment="1">
      <alignment horizontal="center" vertical="center" wrapText="1"/>
    </xf>
    <xf numFmtId="0" fontId="10" fillId="34" borderId="122" xfId="0" applyFont="1" applyFill="1" applyBorder="1" applyAlignment="1">
      <alignment horizontal="center" vertical="center" wrapText="1"/>
    </xf>
    <xf numFmtId="0" fontId="10" fillId="35" borderId="123" xfId="0" applyFont="1" applyFill="1" applyBorder="1" applyAlignment="1">
      <alignment horizontal="center" vertical="center" wrapText="1"/>
    </xf>
    <xf numFmtId="0" fontId="12" fillId="36" borderId="124" xfId="0" applyFont="1" applyFill="1" applyBorder="1" applyAlignment="1">
      <alignment horizontal="center" vertical="center" wrapText="1"/>
    </xf>
    <xf numFmtId="0" fontId="1" fillId="0" borderId="125" xfId="0" applyFont="1" applyBorder="1" applyAlignment="1">
      <alignment vertical="center" wrapText="1"/>
    </xf>
    <xf numFmtId="0" fontId="26" fillId="0" borderId="22" xfId="0" applyFont="1" applyBorder="1" applyAlignment="1">
      <alignment horizontal="center" wrapText="1"/>
    </xf>
    <xf numFmtId="0" fontId="1" fillId="0" borderId="6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36" xfId="0" applyFont="1" applyBorder="1" applyAlignment="1">
      <alignment horizontal="center" vertical="top" wrapText="1"/>
    </xf>
    <xf numFmtId="0" fontId="1" fillId="0" borderId="34" xfId="0" applyFont="1" applyBorder="1" applyAlignment="1">
      <alignment vertical="top" wrapText="1"/>
    </xf>
    <xf numFmtId="9" fontId="1" fillId="0" borderId="35" xfId="0" applyNumberFormat="1" applyFont="1" applyBorder="1" applyAlignment="1">
      <alignment vertical="top" wrapText="1"/>
    </xf>
    <xf numFmtId="0" fontId="14" fillId="17" borderId="57" xfId="0" applyFont="1" applyFill="1" applyBorder="1" applyAlignment="1">
      <alignment horizontal="center" vertical="center" wrapText="1"/>
    </xf>
    <xf numFmtId="0" fontId="14" fillId="16" borderId="56" xfId="0" applyFont="1" applyFill="1" applyBorder="1" applyAlignment="1">
      <alignment horizontal="center" vertical="center" wrapText="1"/>
    </xf>
    <xf numFmtId="0" fontId="12" fillId="20" borderId="96" xfId="0" applyFont="1" applyFill="1" applyBorder="1" applyAlignment="1">
      <alignment horizontal="center" vertical="center" wrapText="1"/>
    </xf>
    <xf numFmtId="0" fontId="12" fillId="15" borderId="55" xfId="0" applyFont="1" applyFill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2" fillId="19" borderId="84" xfId="0" applyFont="1" applyFill="1" applyBorder="1" applyAlignment="1">
      <alignment horizontal="center" vertical="center" wrapText="1"/>
    </xf>
    <xf numFmtId="0" fontId="17" fillId="0" borderId="69" xfId="0" applyFont="1" applyBorder="1" applyAlignment="1">
      <alignment horizontal="center" vertical="center" wrapText="1"/>
    </xf>
    <xf numFmtId="0" fontId="13" fillId="18" borderId="59" xfId="0" applyFont="1" applyFill="1" applyBorder="1" applyAlignment="1">
      <alignment horizontal="center" vertical="center" wrapText="1"/>
    </xf>
    <xf numFmtId="0" fontId="16" fillId="0" borderId="63" xfId="0" applyFont="1" applyBorder="1" applyAlignment="1">
      <alignment horizontal="center" vertical="center" wrapText="1"/>
    </xf>
    <xf numFmtId="0" fontId="16" fillId="0" borderId="70" xfId="0" applyFont="1" applyBorder="1" applyAlignment="1">
      <alignment horizontal="center" vertical="center" wrapText="1"/>
    </xf>
    <xf numFmtId="0" fontId="18" fillId="0" borderId="7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5750E-190A-483E-81AB-6305D70030D8}">
  <sheetPr>
    <outlinePr summaryBelow="0" summaryRight="0"/>
  </sheetPr>
  <dimension ref="A1:L24"/>
  <sheetViews>
    <sheetView topLeftCell="E1" workbookViewId="0">
      <selection activeCell="K1" sqref="K1:K7"/>
    </sheetView>
  </sheetViews>
  <sheetFormatPr defaultColWidth="14" defaultRowHeight="12.75" x14ac:dyDescent="0.2"/>
  <cols>
    <col min="2" max="2" width="15" customWidth="1"/>
    <col min="3" max="3" width="27" customWidth="1"/>
    <col min="4" max="4" width="35.85546875" customWidth="1"/>
    <col min="5" max="6" width="24" customWidth="1"/>
    <col min="7" max="8" width="20" customWidth="1"/>
    <col min="9" max="10" width="14" customWidth="1"/>
    <col min="11" max="11" width="30" customWidth="1"/>
  </cols>
  <sheetData>
    <row r="1" spans="1:12" x14ac:dyDescent="0.2">
      <c r="A1" s="16" t="s">
        <v>3</v>
      </c>
      <c r="B1" s="16" t="s">
        <v>4</v>
      </c>
      <c r="C1" s="16" t="s">
        <v>5</v>
      </c>
      <c r="D1" s="16" t="s">
        <v>359</v>
      </c>
      <c r="E1" s="18" t="s">
        <v>6</v>
      </c>
      <c r="F1" s="16" t="s">
        <v>7</v>
      </c>
      <c r="G1" s="17" t="s">
        <v>8</v>
      </c>
      <c r="H1" s="17" t="s">
        <v>9</v>
      </c>
      <c r="K1" s="16" t="s">
        <v>7</v>
      </c>
      <c r="L1" s="5"/>
    </row>
    <row r="2" spans="1:12" ht="12.75" customHeight="1" x14ac:dyDescent="0.2">
      <c r="A2" s="121" t="s">
        <v>10</v>
      </c>
      <c r="B2" s="123" t="s">
        <v>11</v>
      </c>
      <c r="C2" s="6" t="s">
        <v>12</v>
      </c>
      <c r="D2" s="2" t="s">
        <v>12</v>
      </c>
      <c r="E2" s="9" t="s">
        <v>13</v>
      </c>
      <c r="F2" s="7" t="s">
        <v>14</v>
      </c>
      <c r="G2" s="4" t="s">
        <v>15</v>
      </c>
      <c r="H2" s="4" t="s">
        <v>16</v>
      </c>
      <c r="K2" s="7" t="s">
        <v>14</v>
      </c>
      <c r="L2" s="5"/>
    </row>
    <row r="3" spans="1:12" ht="51" x14ac:dyDescent="0.2">
      <c r="A3" s="121" t="s">
        <v>10</v>
      </c>
      <c r="B3" s="123" t="s">
        <v>11</v>
      </c>
      <c r="C3" s="6" t="s">
        <v>17</v>
      </c>
      <c r="D3" s="2" t="s">
        <v>18</v>
      </c>
      <c r="E3" s="3" t="s">
        <v>20</v>
      </c>
      <c r="F3" s="7" t="s">
        <v>21</v>
      </c>
      <c r="G3" s="4" t="s">
        <v>22</v>
      </c>
      <c r="H3" s="4" t="s">
        <v>23</v>
      </c>
      <c r="K3" s="7" t="s">
        <v>21</v>
      </c>
      <c r="L3" s="5"/>
    </row>
    <row r="4" spans="1:12" ht="51" x14ac:dyDescent="0.2">
      <c r="A4" s="121" t="s">
        <v>10</v>
      </c>
      <c r="B4" s="123" t="s">
        <v>11</v>
      </c>
      <c r="C4" s="6" t="s">
        <v>24</v>
      </c>
      <c r="D4" s="2" t="s">
        <v>24</v>
      </c>
      <c r="E4" s="9" t="s">
        <v>13</v>
      </c>
      <c r="F4" s="7" t="s">
        <v>14</v>
      </c>
      <c r="G4" s="4" t="s">
        <v>25</v>
      </c>
      <c r="H4" s="4" t="s">
        <v>16</v>
      </c>
      <c r="K4" s="8" t="s">
        <v>26</v>
      </c>
      <c r="L4" s="5"/>
    </row>
    <row r="5" spans="1:12" ht="51" x14ac:dyDescent="0.2">
      <c r="A5" s="121" t="s">
        <v>10</v>
      </c>
      <c r="B5" s="123" t="s">
        <v>11</v>
      </c>
      <c r="C5" s="6" t="s">
        <v>27</v>
      </c>
      <c r="D5" s="2" t="s">
        <v>27</v>
      </c>
      <c r="E5" s="9" t="s">
        <v>28</v>
      </c>
      <c r="F5" s="7" t="s">
        <v>14</v>
      </c>
      <c r="G5" s="4" t="s">
        <v>29</v>
      </c>
      <c r="H5" s="4" t="s">
        <v>16</v>
      </c>
      <c r="K5" s="8" t="s">
        <v>30</v>
      </c>
      <c r="L5" s="5"/>
    </row>
    <row r="6" spans="1:12" ht="51" x14ac:dyDescent="0.2">
      <c r="A6" s="121" t="s">
        <v>10</v>
      </c>
      <c r="B6" s="123" t="s">
        <v>11</v>
      </c>
      <c r="C6" s="6" t="s">
        <v>27</v>
      </c>
      <c r="D6" s="2" t="s">
        <v>27</v>
      </c>
      <c r="E6" s="9" t="s">
        <v>13</v>
      </c>
      <c r="F6" s="7" t="s">
        <v>14</v>
      </c>
      <c r="G6" s="4" t="s">
        <v>29</v>
      </c>
      <c r="H6" s="4" t="s">
        <v>16</v>
      </c>
      <c r="K6" s="8" t="s">
        <v>31</v>
      </c>
      <c r="L6" s="5"/>
    </row>
    <row r="7" spans="1:12" ht="32.1" customHeight="1" x14ac:dyDescent="0.2">
      <c r="A7" s="121" t="s">
        <v>10</v>
      </c>
      <c r="B7" s="123" t="s">
        <v>11</v>
      </c>
      <c r="C7" s="6" t="s">
        <v>27</v>
      </c>
      <c r="D7" s="2" t="s">
        <v>27</v>
      </c>
      <c r="E7" s="9" t="s">
        <v>32</v>
      </c>
      <c r="F7" s="7" t="s">
        <v>14</v>
      </c>
      <c r="G7" s="4" t="s">
        <v>29</v>
      </c>
      <c r="H7" s="4" t="s">
        <v>16</v>
      </c>
      <c r="K7" s="8" t="s">
        <v>33</v>
      </c>
      <c r="L7" s="5"/>
    </row>
    <row r="8" spans="1:12" x14ac:dyDescent="0.2">
      <c r="A8" s="121" t="s">
        <v>34</v>
      </c>
      <c r="B8" s="122" t="s">
        <v>35</v>
      </c>
      <c r="C8" s="7" t="s">
        <v>12</v>
      </c>
      <c r="D8" s="1" t="s">
        <v>12</v>
      </c>
      <c r="E8" s="13" t="s">
        <v>36</v>
      </c>
      <c r="F8" s="8" t="s">
        <v>26</v>
      </c>
      <c r="G8" s="6" t="s">
        <v>15</v>
      </c>
      <c r="H8" s="4" t="s">
        <v>16</v>
      </c>
      <c r="L8" s="5"/>
    </row>
    <row r="9" spans="1:12" x14ac:dyDescent="0.2">
      <c r="A9" s="121" t="s">
        <v>34</v>
      </c>
      <c r="B9" s="122" t="s">
        <v>35</v>
      </c>
      <c r="C9" s="6" t="s">
        <v>24</v>
      </c>
      <c r="D9" s="2" t="s">
        <v>24</v>
      </c>
      <c r="E9" s="3" t="s">
        <v>37</v>
      </c>
      <c r="F9" s="8" t="s">
        <v>26</v>
      </c>
      <c r="G9" s="6" t="s">
        <v>25</v>
      </c>
      <c r="H9" s="4" t="s">
        <v>16</v>
      </c>
      <c r="L9" s="5"/>
    </row>
    <row r="10" spans="1:12" x14ac:dyDescent="0.2">
      <c r="A10" s="121" t="s">
        <v>34</v>
      </c>
      <c r="B10" s="122" t="s">
        <v>35</v>
      </c>
      <c r="C10" s="6" t="s">
        <v>24</v>
      </c>
      <c r="D10" s="2" t="s">
        <v>24</v>
      </c>
      <c r="E10" s="3" t="s">
        <v>38</v>
      </c>
      <c r="F10" s="8" t="s">
        <v>30</v>
      </c>
      <c r="G10" s="6" t="s">
        <v>25</v>
      </c>
      <c r="H10" s="4" t="s">
        <v>16</v>
      </c>
      <c r="L10" s="5"/>
    </row>
    <row r="11" spans="1:12" x14ac:dyDescent="0.2">
      <c r="A11" s="121" t="s">
        <v>34</v>
      </c>
      <c r="B11" s="122" t="s">
        <v>35</v>
      </c>
      <c r="C11" s="6" t="s">
        <v>24</v>
      </c>
      <c r="D11" s="2" t="s">
        <v>24</v>
      </c>
      <c r="E11" s="3" t="s">
        <v>39</v>
      </c>
      <c r="F11" s="8" t="s">
        <v>26</v>
      </c>
      <c r="G11" s="6" t="s">
        <v>25</v>
      </c>
      <c r="H11" s="4" t="s">
        <v>16</v>
      </c>
      <c r="L11" s="5"/>
    </row>
    <row r="12" spans="1:12" x14ac:dyDescent="0.2">
      <c r="A12" s="121" t="s">
        <v>34</v>
      </c>
      <c r="B12" s="122" t="s">
        <v>35</v>
      </c>
      <c r="C12" s="6" t="s">
        <v>27</v>
      </c>
      <c r="D12" s="2" t="s">
        <v>27</v>
      </c>
      <c r="E12" s="3" t="s">
        <v>40</v>
      </c>
      <c r="F12" s="8" t="s">
        <v>26</v>
      </c>
      <c r="G12" s="6" t="s">
        <v>29</v>
      </c>
      <c r="H12" s="4" t="s">
        <v>16</v>
      </c>
      <c r="L12" s="5"/>
    </row>
    <row r="13" spans="1:12" x14ac:dyDescent="0.2">
      <c r="A13" s="121" t="s">
        <v>34</v>
      </c>
      <c r="B13" s="122" t="s">
        <v>35</v>
      </c>
      <c r="C13" s="6" t="s">
        <v>27</v>
      </c>
      <c r="D13" s="2" t="s">
        <v>27</v>
      </c>
      <c r="E13" s="3" t="s">
        <v>38</v>
      </c>
      <c r="F13" s="8" t="s">
        <v>30</v>
      </c>
      <c r="G13" s="4" t="s">
        <v>29</v>
      </c>
      <c r="H13" s="4" t="s">
        <v>16</v>
      </c>
      <c r="L13" s="5"/>
    </row>
    <row r="14" spans="1:12" ht="18.95" customHeight="1" x14ac:dyDescent="0.2">
      <c r="A14" s="121" t="s">
        <v>34</v>
      </c>
      <c r="B14" s="122" t="s">
        <v>35</v>
      </c>
      <c r="C14" s="6" t="s">
        <v>27</v>
      </c>
      <c r="D14" s="2" t="s">
        <v>27</v>
      </c>
      <c r="E14" s="19" t="s">
        <v>41</v>
      </c>
      <c r="F14" s="8" t="s">
        <v>33</v>
      </c>
      <c r="G14" s="6" t="s">
        <v>29</v>
      </c>
      <c r="H14" s="4" t="s">
        <v>16</v>
      </c>
      <c r="L14" s="5"/>
    </row>
    <row r="15" spans="1:12" x14ac:dyDescent="0.2">
      <c r="A15" s="121" t="s">
        <v>34</v>
      </c>
      <c r="B15" s="122" t="s">
        <v>42</v>
      </c>
      <c r="C15" s="7" t="s">
        <v>12</v>
      </c>
      <c r="D15" s="1" t="s">
        <v>12</v>
      </c>
      <c r="E15" s="3" t="s">
        <v>43</v>
      </c>
      <c r="F15" s="7" t="s">
        <v>21</v>
      </c>
      <c r="G15" s="6" t="s">
        <v>15</v>
      </c>
      <c r="H15" s="4" t="s">
        <v>16</v>
      </c>
      <c r="K15" s="10"/>
      <c r="L15" s="5"/>
    </row>
    <row r="16" spans="1:12" ht="18.95" customHeight="1" x14ac:dyDescent="0.2">
      <c r="A16" s="121" t="s">
        <v>34</v>
      </c>
      <c r="B16" s="122" t="s">
        <v>42</v>
      </c>
      <c r="C16" s="7" t="s">
        <v>12</v>
      </c>
      <c r="D16" s="1" t="s">
        <v>12</v>
      </c>
      <c r="E16" s="3" t="s">
        <v>44</v>
      </c>
      <c r="F16" s="7" t="s">
        <v>21</v>
      </c>
      <c r="G16" s="4" t="s">
        <v>15</v>
      </c>
      <c r="H16" s="4" t="s">
        <v>16</v>
      </c>
      <c r="K16" s="10"/>
      <c r="L16" s="5"/>
    </row>
    <row r="17" spans="1:12" x14ac:dyDescent="0.2">
      <c r="A17" s="121" t="s">
        <v>34</v>
      </c>
      <c r="B17" s="122" t="s">
        <v>42</v>
      </c>
      <c r="C17" s="7" t="s">
        <v>12</v>
      </c>
      <c r="D17" s="1" t="s">
        <v>12</v>
      </c>
      <c r="E17" s="3" t="s">
        <v>45</v>
      </c>
      <c r="F17" s="7" t="s">
        <v>21</v>
      </c>
      <c r="G17" s="6" t="s">
        <v>15</v>
      </c>
      <c r="H17" s="4" t="s">
        <v>16</v>
      </c>
      <c r="L17" s="5"/>
    </row>
    <row r="18" spans="1:12" ht="18.95" customHeight="1" x14ac:dyDescent="0.2">
      <c r="A18" s="121" t="s">
        <v>34</v>
      </c>
      <c r="B18" s="122" t="s">
        <v>42</v>
      </c>
      <c r="C18" s="7" t="s">
        <v>12</v>
      </c>
      <c r="D18" s="1" t="s">
        <v>12</v>
      </c>
      <c r="E18" s="3" t="s">
        <v>46</v>
      </c>
      <c r="F18" s="7" t="s">
        <v>21</v>
      </c>
      <c r="G18" s="6" t="s">
        <v>15</v>
      </c>
      <c r="H18" s="4" t="s">
        <v>16</v>
      </c>
      <c r="L18" s="5"/>
    </row>
    <row r="19" spans="1:12" x14ac:dyDescent="0.2">
      <c r="A19" s="121" t="s">
        <v>34</v>
      </c>
      <c r="B19" s="122" t="s">
        <v>42</v>
      </c>
      <c r="C19" s="6" t="s">
        <v>17</v>
      </c>
      <c r="D19" s="2" t="s">
        <v>18</v>
      </c>
      <c r="E19" s="3" t="s">
        <v>47</v>
      </c>
      <c r="F19" s="7" t="s">
        <v>21</v>
      </c>
      <c r="G19" s="6" t="s">
        <v>22</v>
      </c>
      <c r="H19" s="4" t="s">
        <v>23</v>
      </c>
      <c r="L19" s="5"/>
    </row>
    <row r="20" spans="1:12" x14ac:dyDescent="0.2">
      <c r="A20" s="121" t="s">
        <v>48</v>
      </c>
      <c r="B20" s="122" t="s">
        <v>49</v>
      </c>
      <c r="C20" s="6" t="s">
        <v>12</v>
      </c>
      <c r="D20" s="2" t="s">
        <v>50</v>
      </c>
      <c r="E20" s="9" t="s">
        <v>13</v>
      </c>
      <c r="F20" s="7" t="s">
        <v>21</v>
      </c>
      <c r="G20" s="4" t="s">
        <v>15</v>
      </c>
      <c r="H20" s="4" t="s">
        <v>16</v>
      </c>
      <c r="L20" s="5"/>
    </row>
    <row r="21" spans="1:12" x14ac:dyDescent="0.2">
      <c r="A21" s="121" t="s">
        <v>48</v>
      </c>
      <c r="B21" s="122" t="s">
        <v>49</v>
      </c>
      <c r="C21" s="14" t="s">
        <v>17</v>
      </c>
      <c r="D21" s="15" t="s">
        <v>18</v>
      </c>
      <c r="E21" s="9" t="s">
        <v>13</v>
      </c>
      <c r="F21" s="7" t="s">
        <v>21</v>
      </c>
      <c r="G21" s="4" t="s">
        <v>22</v>
      </c>
      <c r="H21" s="4" t="s">
        <v>23</v>
      </c>
      <c r="L21" s="5"/>
    </row>
    <row r="22" spans="1:12" x14ac:dyDescent="0.2">
      <c r="A22" s="121" t="s">
        <v>48</v>
      </c>
      <c r="B22" s="122" t="s">
        <v>49</v>
      </c>
      <c r="C22" s="6" t="s">
        <v>24</v>
      </c>
      <c r="D22" s="11" t="s">
        <v>24</v>
      </c>
      <c r="E22" s="9" t="s">
        <v>13</v>
      </c>
      <c r="F22" s="7" t="s">
        <v>21</v>
      </c>
      <c r="G22" s="4" t="s">
        <v>25</v>
      </c>
      <c r="H22" s="4" t="s">
        <v>16</v>
      </c>
      <c r="L22" s="5"/>
    </row>
    <row r="23" spans="1:12" x14ac:dyDescent="0.2">
      <c r="A23" s="121" t="s">
        <v>48</v>
      </c>
      <c r="B23" s="122" t="s">
        <v>49</v>
      </c>
      <c r="C23" s="6" t="s">
        <v>27</v>
      </c>
      <c r="D23" s="11" t="s">
        <v>27</v>
      </c>
      <c r="E23" s="9" t="s">
        <v>13</v>
      </c>
      <c r="F23" s="7" t="s">
        <v>21</v>
      </c>
      <c r="G23" s="4" t="s">
        <v>29</v>
      </c>
      <c r="H23" s="4" t="s">
        <v>16</v>
      </c>
      <c r="L23" s="5"/>
    </row>
    <row r="24" spans="1:12" x14ac:dyDescent="0.2">
      <c r="A24" s="10"/>
      <c r="B24" s="10"/>
      <c r="C24" s="10"/>
      <c r="D24" s="10"/>
      <c r="E24" s="10"/>
      <c r="F24" s="10"/>
      <c r="H24" s="12"/>
      <c r="L24" s="5"/>
    </row>
  </sheetData>
  <phoneticPr fontId="25" type="noConversion"/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5C4F2-2D9B-48FD-A656-0F317E362411}">
  <sheetPr>
    <outlinePr summaryBelow="0" summaryRight="0"/>
  </sheetPr>
  <dimension ref="A1:F53"/>
  <sheetViews>
    <sheetView tabSelected="1" workbookViewId="0">
      <selection activeCell="D31" sqref="D31"/>
    </sheetView>
  </sheetViews>
  <sheetFormatPr defaultColWidth="14" defaultRowHeight="12.75" x14ac:dyDescent="0.2"/>
  <cols>
    <col min="1" max="1" width="14" customWidth="1"/>
    <col min="6" max="6" width="13.42578125" customWidth="1"/>
  </cols>
  <sheetData>
    <row r="1" spans="1:6" x14ac:dyDescent="0.15">
      <c r="A1" s="120" t="s">
        <v>363</v>
      </c>
      <c r="B1" s="120" t="s">
        <v>364</v>
      </c>
      <c r="C1" s="120" t="s">
        <v>360</v>
      </c>
      <c r="D1" s="120" t="s">
        <v>362</v>
      </c>
      <c r="E1" s="120" t="s">
        <v>361</v>
      </c>
      <c r="F1" s="120" t="s">
        <v>365</v>
      </c>
    </row>
    <row r="2" spans="1:6" x14ac:dyDescent="0.15">
      <c r="A2" s="22" t="s">
        <v>59</v>
      </c>
      <c r="B2" s="22" t="s">
        <v>60</v>
      </c>
      <c r="C2" s="23" t="s">
        <v>61</v>
      </c>
      <c r="D2" s="23" t="s">
        <v>62</v>
      </c>
      <c r="E2" s="22" t="s">
        <v>63</v>
      </c>
      <c r="F2" s="23" t="s">
        <v>61</v>
      </c>
    </row>
    <row r="3" spans="1:6" x14ac:dyDescent="0.15">
      <c r="A3" s="22" t="s">
        <v>59</v>
      </c>
      <c r="B3" s="22" t="s">
        <v>60</v>
      </c>
      <c r="C3" s="23" t="s">
        <v>64</v>
      </c>
      <c r="D3" s="23" t="s">
        <v>65</v>
      </c>
      <c r="E3" s="22" t="s">
        <v>66</v>
      </c>
      <c r="F3" s="23" t="s">
        <v>64</v>
      </c>
    </row>
    <row r="4" spans="1:6" x14ac:dyDescent="0.15">
      <c r="A4" s="22" t="s">
        <v>59</v>
      </c>
      <c r="B4" s="22" t="s">
        <v>60</v>
      </c>
      <c r="C4" s="23" t="s">
        <v>67</v>
      </c>
      <c r="D4" s="23" t="s">
        <v>68</v>
      </c>
      <c r="E4" s="22" t="s">
        <v>69</v>
      </c>
      <c r="F4" s="23" t="s">
        <v>67</v>
      </c>
    </row>
    <row r="5" spans="1:6" x14ac:dyDescent="0.15">
      <c r="A5" s="22" t="s">
        <v>59</v>
      </c>
      <c r="B5" s="22" t="s">
        <v>60</v>
      </c>
      <c r="C5" s="23" t="s">
        <v>70</v>
      </c>
      <c r="D5" s="23" t="s">
        <v>71</v>
      </c>
      <c r="E5" s="22" t="s">
        <v>72</v>
      </c>
      <c r="F5" s="24" t="s">
        <v>70</v>
      </c>
    </row>
    <row r="6" spans="1:6" ht="13.5" x14ac:dyDescent="0.15">
      <c r="A6" s="22" t="s">
        <v>59</v>
      </c>
      <c r="B6" s="22" t="s">
        <v>60</v>
      </c>
      <c r="C6" s="23" t="s">
        <v>73</v>
      </c>
      <c r="D6" s="23" t="s">
        <v>74</v>
      </c>
      <c r="E6" s="22" t="s">
        <v>75</v>
      </c>
      <c r="F6" s="31" t="s">
        <v>76</v>
      </c>
    </row>
    <row r="7" spans="1:6" x14ac:dyDescent="0.15">
      <c r="A7" s="22" t="s">
        <v>59</v>
      </c>
      <c r="B7" s="22" t="s">
        <v>60</v>
      </c>
      <c r="C7" s="23" t="s">
        <v>77</v>
      </c>
      <c r="D7" s="23" t="s">
        <v>78</v>
      </c>
      <c r="E7" s="22" t="s">
        <v>79</v>
      </c>
      <c r="F7" s="27" t="s">
        <v>77</v>
      </c>
    </row>
    <row r="8" spans="1:6" x14ac:dyDescent="0.15">
      <c r="A8" s="22" t="s">
        <v>59</v>
      </c>
      <c r="B8" s="22" t="s">
        <v>60</v>
      </c>
      <c r="C8" s="23" t="s">
        <v>80</v>
      </c>
      <c r="D8" s="23" t="s">
        <v>81</v>
      </c>
      <c r="E8" s="22" t="s">
        <v>82</v>
      </c>
      <c r="F8" s="27" t="s">
        <v>80</v>
      </c>
    </row>
    <row r="9" spans="1:6" x14ac:dyDescent="0.15">
      <c r="A9" s="22" t="s">
        <v>59</v>
      </c>
      <c r="B9" s="22" t="s">
        <v>60</v>
      </c>
      <c r="C9" s="23" t="s">
        <v>83</v>
      </c>
      <c r="D9" s="23" t="s">
        <v>84</v>
      </c>
      <c r="E9" s="22" t="s">
        <v>85</v>
      </c>
      <c r="F9" s="23" t="s">
        <v>83</v>
      </c>
    </row>
    <row r="10" spans="1:6" x14ac:dyDescent="0.15">
      <c r="A10" s="25" t="s">
        <v>86</v>
      </c>
      <c r="B10" s="25" t="s">
        <v>87</v>
      </c>
      <c r="C10" s="26" t="s">
        <v>88</v>
      </c>
      <c r="D10" s="26" t="s">
        <v>89</v>
      </c>
      <c r="E10" s="25" t="s">
        <v>90</v>
      </c>
      <c r="F10" s="23" t="s">
        <v>88</v>
      </c>
    </row>
    <row r="11" spans="1:6" x14ac:dyDescent="0.15">
      <c r="A11" s="25" t="s">
        <v>86</v>
      </c>
      <c r="B11" s="25" t="s">
        <v>87</v>
      </c>
      <c r="C11" s="26" t="s">
        <v>91</v>
      </c>
      <c r="D11" s="26" t="s">
        <v>92</v>
      </c>
      <c r="E11" s="25" t="s">
        <v>93</v>
      </c>
      <c r="F11" s="23" t="s">
        <v>91</v>
      </c>
    </row>
    <row r="12" spans="1:6" x14ac:dyDescent="0.15">
      <c r="A12" s="25" t="s">
        <v>86</v>
      </c>
      <c r="B12" s="25" t="s">
        <v>87</v>
      </c>
      <c r="C12" s="26" t="s">
        <v>94</v>
      </c>
      <c r="D12" s="26" t="s">
        <v>95</v>
      </c>
      <c r="E12" s="25" t="s">
        <v>96</v>
      </c>
      <c r="F12" s="23" t="s">
        <v>94</v>
      </c>
    </row>
    <row r="13" spans="1:6" x14ac:dyDescent="0.15">
      <c r="A13" s="25" t="s">
        <v>86</v>
      </c>
      <c r="B13" s="25" t="s">
        <v>87</v>
      </c>
      <c r="C13" s="26" t="s">
        <v>97</v>
      </c>
      <c r="D13" s="26" t="s">
        <v>98</v>
      </c>
      <c r="E13" s="25" t="s">
        <v>99</v>
      </c>
      <c r="F13" s="23" t="s">
        <v>97</v>
      </c>
    </row>
    <row r="14" spans="1:6" x14ac:dyDescent="0.15">
      <c r="A14" s="25" t="s">
        <v>86</v>
      </c>
      <c r="B14" s="25" t="s">
        <v>87</v>
      </c>
      <c r="C14" s="26" t="s">
        <v>100</v>
      </c>
      <c r="D14" s="26" t="s">
        <v>101</v>
      </c>
      <c r="E14" s="25" t="s">
        <v>102</v>
      </c>
      <c r="F14" s="23" t="s">
        <v>100</v>
      </c>
    </row>
    <row r="15" spans="1:6" x14ac:dyDescent="0.15">
      <c r="A15" s="25" t="s">
        <v>86</v>
      </c>
      <c r="B15" s="25" t="s">
        <v>87</v>
      </c>
      <c r="C15" s="26" t="s">
        <v>103</v>
      </c>
      <c r="D15" s="26" t="s">
        <v>104</v>
      </c>
      <c r="E15" s="25" t="s">
        <v>105</v>
      </c>
      <c r="F15" s="23" t="s">
        <v>103</v>
      </c>
    </row>
    <row r="16" spans="1:6" x14ac:dyDescent="0.15">
      <c r="A16" s="25" t="s">
        <v>86</v>
      </c>
      <c r="B16" s="25" t="s">
        <v>87</v>
      </c>
      <c r="C16" s="26" t="s">
        <v>106</v>
      </c>
      <c r="D16" s="26" t="s">
        <v>107</v>
      </c>
      <c r="E16" s="25" t="s">
        <v>108</v>
      </c>
      <c r="F16" s="23" t="s">
        <v>106</v>
      </c>
    </row>
    <row r="17" spans="1:6" x14ac:dyDescent="0.15">
      <c r="A17" s="25" t="s">
        <v>86</v>
      </c>
      <c r="B17" s="25" t="s">
        <v>87</v>
      </c>
      <c r="C17" s="26" t="s">
        <v>109</v>
      </c>
      <c r="D17" s="26" t="s">
        <v>110</v>
      </c>
      <c r="E17" s="25" t="s">
        <v>111</v>
      </c>
      <c r="F17" s="23" t="s">
        <v>109</v>
      </c>
    </row>
    <row r="18" spans="1:6" x14ac:dyDescent="0.15">
      <c r="A18" s="25" t="s">
        <v>86</v>
      </c>
      <c r="B18" s="25" t="s">
        <v>87</v>
      </c>
      <c r="C18" s="26" t="s">
        <v>112</v>
      </c>
      <c r="D18" s="26" t="s">
        <v>113</v>
      </c>
      <c r="E18" s="25" t="s">
        <v>114</v>
      </c>
      <c r="F18" s="23" t="s">
        <v>112</v>
      </c>
    </row>
    <row r="19" spans="1:6" x14ac:dyDescent="0.15">
      <c r="A19" s="25" t="s">
        <v>86</v>
      </c>
      <c r="B19" s="25" t="s">
        <v>87</v>
      </c>
      <c r="C19" s="26" t="s">
        <v>115</v>
      </c>
      <c r="D19" s="26" t="s">
        <v>116</v>
      </c>
      <c r="E19" s="25" t="s">
        <v>117</v>
      </c>
      <c r="F19" s="23" t="s">
        <v>115</v>
      </c>
    </row>
    <row r="20" spans="1:6" x14ac:dyDescent="0.15">
      <c r="A20" s="25" t="s">
        <v>86</v>
      </c>
      <c r="B20" s="25" t="s">
        <v>87</v>
      </c>
      <c r="C20" s="26" t="s">
        <v>118</v>
      </c>
      <c r="D20" s="26" t="s">
        <v>119</v>
      </c>
      <c r="E20" s="25" t="s">
        <v>120</v>
      </c>
      <c r="F20" s="23" t="s">
        <v>118</v>
      </c>
    </row>
    <row r="21" spans="1:6" x14ac:dyDescent="0.15">
      <c r="A21" s="25" t="s">
        <v>86</v>
      </c>
      <c r="B21" s="25" t="s">
        <v>87</v>
      </c>
      <c r="C21" s="26" t="s">
        <v>121</v>
      </c>
      <c r="D21" s="26" t="s">
        <v>122</v>
      </c>
      <c r="E21" s="25" t="s">
        <v>123</v>
      </c>
      <c r="F21" s="23" t="s">
        <v>121</v>
      </c>
    </row>
    <row r="22" spans="1:6" x14ac:dyDescent="0.15">
      <c r="A22" s="25" t="s">
        <v>86</v>
      </c>
      <c r="B22" s="25" t="s">
        <v>87</v>
      </c>
      <c r="C22" s="26" t="s">
        <v>124</v>
      </c>
      <c r="D22" s="26" t="s">
        <v>125</v>
      </c>
      <c r="E22" s="25" t="s">
        <v>126</v>
      </c>
      <c r="F22" s="23" t="s">
        <v>124</v>
      </c>
    </row>
    <row r="23" spans="1:6" x14ac:dyDescent="0.15">
      <c r="A23" s="25" t="s">
        <v>86</v>
      </c>
      <c r="B23" s="25" t="s">
        <v>87</v>
      </c>
      <c r="C23" s="26" t="s">
        <v>127</v>
      </c>
      <c r="D23" s="26" t="s">
        <v>128</v>
      </c>
      <c r="E23" s="25" t="s">
        <v>129</v>
      </c>
      <c r="F23" s="23" t="s">
        <v>127</v>
      </c>
    </row>
    <row r="24" spans="1:6" x14ac:dyDescent="0.15">
      <c r="A24" s="25" t="s">
        <v>86</v>
      </c>
      <c r="B24" s="25" t="s">
        <v>87</v>
      </c>
      <c r="C24" s="26" t="s">
        <v>130</v>
      </c>
      <c r="D24" s="26" t="s">
        <v>131</v>
      </c>
      <c r="E24" s="25" t="s">
        <v>132</v>
      </c>
      <c r="F24" s="24" t="s">
        <v>130</v>
      </c>
    </row>
    <row r="25" spans="1:6" ht="19.5" x14ac:dyDescent="0.15">
      <c r="A25" s="25" t="s">
        <v>86</v>
      </c>
      <c r="B25" s="25" t="s">
        <v>87</v>
      </c>
      <c r="C25" s="26" t="s">
        <v>133</v>
      </c>
      <c r="D25" s="26" t="s">
        <v>134</v>
      </c>
      <c r="E25" s="25" t="s">
        <v>135</v>
      </c>
      <c r="F25" s="29" t="s">
        <v>136</v>
      </c>
    </row>
    <row r="26" spans="1:6" x14ac:dyDescent="0.15">
      <c r="A26" s="22" t="s">
        <v>137</v>
      </c>
      <c r="B26" s="22" t="s">
        <v>87</v>
      </c>
      <c r="C26" s="23" t="s">
        <v>138</v>
      </c>
      <c r="D26" s="23" t="s">
        <v>139</v>
      </c>
      <c r="E26" s="22" t="s">
        <v>140</v>
      </c>
      <c r="F26" s="23" t="s">
        <v>138</v>
      </c>
    </row>
    <row r="27" spans="1:6" x14ac:dyDescent="0.15">
      <c r="A27" s="22" t="s">
        <v>137</v>
      </c>
      <c r="B27" s="22" t="s">
        <v>87</v>
      </c>
      <c r="C27" s="23" t="s">
        <v>141</v>
      </c>
      <c r="D27" s="23" t="s">
        <v>142</v>
      </c>
      <c r="E27" s="22" t="s">
        <v>143</v>
      </c>
      <c r="F27" s="23" t="s">
        <v>141</v>
      </c>
    </row>
    <row r="28" spans="1:6" x14ac:dyDescent="0.15">
      <c r="A28" s="22" t="s">
        <v>137</v>
      </c>
      <c r="B28" s="22" t="s">
        <v>87</v>
      </c>
      <c r="C28" s="23" t="s">
        <v>144</v>
      </c>
      <c r="D28" s="23" t="s">
        <v>145</v>
      </c>
      <c r="E28" s="22" t="s">
        <v>146</v>
      </c>
      <c r="F28" s="23" t="s">
        <v>144</v>
      </c>
    </row>
    <row r="29" spans="1:6" x14ac:dyDescent="0.15">
      <c r="A29" s="22" t="s">
        <v>137</v>
      </c>
      <c r="B29" s="22" t="s">
        <v>87</v>
      </c>
      <c r="C29" s="23" t="s">
        <v>147</v>
      </c>
      <c r="D29" s="23" t="s">
        <v>148</v>
      </c>
      <c r="E29" s="22" t="s">
        <v>149</v>
      </c>
      <c r="F29" s="23" t="s">
        <v>147</v>
      </c>
    </row>
    <row r="30" spans="1:6" x14ac:dyDescent="0.15">
      <c r="A30" s="22" t="s">
        <v>137</v>
      </c>
      <c r="B30" s="22" t="s">
        <v>150</v>
      </c>
      <c r="C30" s="23" t="s">
        <v>151</v>
      </c>
      <c r="D30" s="23" t="s">
        <v>152</v>
      </c>
      <c r="E30" s="22" t="s">
        <v>153</v>
      </c>
      <c r="F30" s="23" t="s">
        <v>151</v>
      </c>
    </row>
    <row r="31" spans="1:6" x14ac:dyDescent="0.15">
      <c r="A31" s="25" t="s">
        <v>154</v>
      </c>
      <c r="B31" s="25" t="s">
        <v>155</v>
      </c>
      <c r="C31" s="26" t="s">
        <v>154</v>
      </c>
      <c r="D31" s="26" t="s">
        <v>156</v>
      </c>
      <c r="E31" s="25" t="s">
        <v>155</v>
      </c>
      <c r="F31" s="23" t="s">
        <v>154</v>
      </c>
    </row>
    <row r="32" spans="1:6" x14ac:dyDescent="0.15">
      <c r="A32" s="22" t="s">
        <v>157</v>
      </c>
      <c r="B32" s="22" t="s">
        <v>158</v>
      </c>
      <c r="C32" s="23" t="s">
        <v>159</v>
      </c>
      <c r="D32" s="23" t="s">
        <v>160</v>
      </c>
      <c r="E32" s="22" t="s">
        <v>161</v>
      </c>
      <c r="F32" s="23" t="s">
        <v>159</v>
      </c>
    </row>
    <row r="33" spans="1:6" x14ac:dyDescent="0.15">
      <c r="A33" s="22" t="s">
        <v>157</v>
      </c>
      <c r="B33" s="22" t="s">
        <v>158</v>
      </c>
      <c r="C33" s="23" t="s">
        <v>162</v>
      </c>
      <c r="D33" s="23" t="s">
        <v>163</v>
      </c>
      <c r="E33" s="22" t="s">
        <v>164</v>
      </c>
      <c r="F33" s="23" t="s">
        <v>162</v>
      </c>
    </row>
    <row r="34" spans="1:6" x14ac:dyDescent="0.15">
      <c r="A34" s="22" t="s">
        <v>157</v>
      </c>
      <c r="B34" s="22" t="s">
        <v>158</v>
      </c>
      <c r="C34" s="23" t="s">
        <v>165</v>
      </c>
      <c r="D34" s="23" t="s">
        <v>166</v>
      </c>
      <c r="E34" s="22" t="s">
        <v>167</v>
      </c>
      <c r="F34" s="23" t="s">
        <v>165</v>
      </c>
    </row>
    <row r="35" spans="1:6" x14ac:dyDescent="0.15">
      <c r="A35" s="22" t="s">
        <v>157</v>
      </c>
      <c r="B35" s="22" t="s">
        <v>158</v>
      </c>
      <c r="C35" s="23" t="s">
        <v>168</v>
      </c>
      <c r="D35" s="23" t="s">
        <v>169</v>
      </c>
      <c r="E35" s="22" t="s">
        <v>170</v>
      </c>
      <c r="F35" s="23" t="s">
        <v>168</v>
      </c>
    </row>
    <row r="36" spans="1:6" x14ac:dyDescent="0.15">
      <c r="A36" s="22" t="s">
        <v>157</v>
      </c>
      <c r="B36" s="22" t="s">
        <v>158</v>
      </c>
      <c r="C36" s="23" t="s">
        <v>171</v>
      </c>
      <c r="D36" s="23" t="s">
        <v>172</v>
      </c>
      <c r="E36" s="22" t="s">
        <v>173</v>
      </c>
      <c r="F36" s="23" t="s">
        <v>171</v>
      </c>
    </row>
    <row r="37" spans="1:6" x14ac:dyDescent="0.15">
      <c r="A37" s="22" t="s">
        <v>157</v>
      </c>
      <c r="B37" s="22" t="s">
        <v>158</v>
      </c>
      <c r="C37" s="23" t="s">
        <v>174</v>
      </c>
      <c r="D37" s="23" t="s">
        <v>175</v>
      </c>
      <c r="E37" s="22" t="s">
        <v>176</v>
      </c>
      <c r="F37" s="23" t="s">
        <v>174</v>
      </c>
    </row>
    <row r="38" spans="1:6" x14ac:dyDescent="0.15">
      <c r="A38" s="22" t="s">
        <v>157</v>
      </c>
      <c r="B38" s="22" t="s">
        <v>158</v>
      </c>
      <c r="C38" s="23" t="s">
        <v>177</v>
      </c>
      <c r="D38" s="23" t="s">
        <v>178</v>
      </c>
      <c r="E38" s="22" t="s">
        <v>179</v>
      </c>
      <c r="F38" s="23" t="s">
        <v>177</v>
      </c>
    </row>
    <row r="39" spans="1:6" x14ac:dyDescent="0.15">
      <c r="A39" s="22" t="s">
        <v>157</v>
      </c>
      <c r="B39" s="22" t="s">
        <v>158</v>
      </c>
      <c r="C39" s="23" t="s">
        <v>180</v>
      </c>
      <c r="D39" s="23" t="s">
        <v>181</v>
      </c>
      <c r="E39" s="22" t="s">
        <v>182</v>
      </c>
      <c r="F39" s="24" t="s">
        <v>180</v>
      </c>
    </row>
    <row r="40" spans="1:6" x14ac:dyDescent="0.15">
      <c r="A40" s="25" t="s">
        <v>183</v>
      </c>
      <c r="B40" s="25" t="s">
        <v>184</v>
      </c>
      <c r="C40" s="26" t="s">
        <v>185</v>
      </c>
      <c r="D40" s="26" t="s">
        <v>186</v>
      </c>
      <c r="E40" s="25" t="s">
        <v>187</v>
      </c>
      <c r="F40" s="28" t="s">
        <v>188</v>
      </c>
    </row>
    <row r="41" spans="1:6" x14ac:dyDescent="0.15">
      <c r="A41" s="25" t="s">
        <v>183</v>
      </c>
      <c r="B41" s="25" t="s">
        <v>184</v>
      </c>
      <c r="C41" s="26" t="s">
        <v>189</v>
      </c>
      <c r="D41" s="26" t="s">
        <v>190</v>
      </c>
      <c r="E41" s="25" t="s">
        <v>191</v>
      </c>
      <c r="F41" s="30" t="s">
        <v>192</v>
      </c>
    </row>
    <row r="42" spans="1:6" x14ac:dyDescent="0.15">
      <c r="A42" s="25" t="s">
        <v>183</v>
      </c>
      <c r="B42" s="25" t="s">
        <v>184</v>
      </c>
      <c r="C42" s="26" t="s">
        <v>193</v>
      </c>
      <c r="D42" s="26" t="s">
        <v>194</v>
      </c>
      <c r="E42" s="25" t="s">
        <v>195</v>
      </c>
      <c r="F42" s="23" t="s">
        <v>193</v>
      </c>
    </row>
    <row r="43" spans="1:6" x14ac:dyDescent="0.15">
      <c r="A43" s="25" t="s">
        <v>183</v>
      </c>
      <c r="B43" s="25" t="s">
        <v>184</v>
      </c>
      <c r="C43" s="26" t="s">
        <v>196</v>
      </c>
      <c r="D43" s="26" t="s">
        <v>197</v>
      </c>
      <c r="E43" s="25" t="s">
        <v>198</v>
      </c>
      <c r="F43" s="23" t="s">
        <v>196</v>
      </c>
    </row>
    <row r="44" spans="1:6" x14ac:dyDescent="0.15">
      <c r="A44" s="25" t="s">
        <v>183</v>
      </c>
      <c r="B44" s="25" t="s">
        <v>184</v>
      </c>
      <c r="C44" s="26" t="s">
        <v>199</v>
      </c>
      <c r="D44" s="26" t="s">
        <v>200</v>
      </c>
      <c r="E44" s="25" t="s">
        <v>201</v>
      </c>
      <c r="F44" s="23" t="s">
        <v>199</v>
      </c>
    </row>
    <row r="45" spans="1:6" x14ac:dyDescent="0.15">
      <c r="A45" s="22" t="s">
        <v>202</v>
      </c>
      <c r="B45" s="22" t="s">
        <v>203</v>
      </c>
      <c r="C45" s="23" t="s">
        <v>204</v>
      </c>
      <c r="D45" s="23" t="s">
        <v>205</v>
      </c>
      <c r="E45" s="22" t="s">
        <v>206</v>
      </c>
      <c r="F45" s="23" t="s">
        <v>204</v>
      </c>
    </row>
    <row r="46" spans="1:6" x14ac:dyDescent="0.15">
      <c r="A46" s="22" t="s">
        <v>202</v>
      </c>
      <c r="B46" s="22" t="s">
        <v>203</v>
      </c>
      <c r="C46" s="23" t="s">
        <v>207</v>
      </c>
      <c r="D46" s="23" t="s">
        <v>208</v>
      </c>
      <c r="E46" s="22" t="s">
        <v>209</v>
      </c>
      <c r="F46" s="23" t="s">
        <v>207</v>
      </c>
    </row>
    <row r="47" spans="1:6" x14ac:dyDescent="0.15">
      <c r="A47" s="22" t="s">
        <v>202</v>
      </c>
      <c r="B47" s="22" t="s">
        <v>203</v>
      </c>
      <c r="C47" s="23" t="s">
        <v>210</v>
      </c>
      <c r="D47" s="23" t="s">
        <v>211</v>
      </c>
      <c r="E47" s="22" t="s">
        <v>212</v>
      </c>
      <c r="F47" s="23" t="s">
        <v>210</v>
      </c>
    </row>
    <row r="48" spans="1:6" x14ac:dyDescent="0.15">
      <c r="A48" s="22" t="s">
        <v>202</v>
      </c>
      <c r="B48" s="22" t="s">
        <v>203</v>
      </c>
      <c r="C48" s="23" t="s">
        <v>213</v>
      </c>
      <c r="D48" s="23" t="s">
        <v>214</v>
      </c>
      <c r="E48" s="22" t="s">
        <v>215</v>
      </c>
      <c r="F48" s="23" t="s">
        <v>213</v>
      </c>
    </row>
    <row r="49" spans="1:6" x14ac:dyDescent="0.15">
      <c r="A49" s="22" t="s">
        <v>202</v>
      </c>
      <c r="B49" s="22" t="s">
        <v>203</v>
      </c>
      <c r="C49" s="23" t="s">
        <v>216</v>
      </c>
      <c r="D49" s="23" t="s">
        <v>217</v>
      </c>
      <c r="E49" s="22" t="s">
        <v>218</v>
      </c>
      <c r="F49" s="23" t="s">
        <v>216</v>
      </c>
    </row>
    <row r="50" spans="1:6" x14ac:dyDescent="0.15">
      <c r="A50" s="25" t="s">
        <v>219</v>
      </c>
      <c r="B50" s="25" t="s">
        <v>220</v>
      </c>
      <c r="C50" s="26" t="s">
        <v>221</v>
      </c>
      <c r="D50" s="26" t="s">
        <v>222</v>
      </c>
      <c r="E50" s="25" t="s">
        <v>223</v>
      </c>
      <c r="F50" s="23" t="s">
        <v>221</v>
      </c>
    </row>
    <row r="51" spans="1:6" x14ac:dyDescent="0.15">
      <c r="A51" s="25" t="s">
        <v>219</v>
      </c>
      <c r="B51" s="25" t="s">
        <v>220</v>
      </c>
      <c r="C51" s="26" t="s">
        <v>224</v>
      </c>
      <c r="D51" s="26" t="s">
        <v>225</v>
      </c>
      <c r="E51" s="25" t="s">
        <v>226</v>
      </c>
      <c r="F51" s="23" t="s">
        <v>224</v>
      </c>
    </row>
    <row r="52" spans="1:6" x14ac:dyDescent="0.15">
      <c r="A52" s="25" t="s">
        <v>219</v>
      </c>
      <c r="B52" s="25" t="s">
        <v>220</v>
      </c>
      <c r="C52" s="26" t="s">
        <v>227</v>
      </c>
      <c r="D52" s="26" t="s">
        <v>228</v>
      </c>
      <c r="E52" s="25" t="s">
        <v>229</v>
      </c>
      <c r="F52" s="23" t="s">
        <v>227</v>
      </c>
    </row>
    <row r="53" spans="1:6" x14ac:dyDescent="0.15">
      <c r="A53" s="25" t="s">
        <v>219</v>
      </c>
      <c r="B53" s="25" t="s">
        <v>220</v>
      </c>
      <c r="C53" s="26" t="s">
        <v>230</v>
      </c>
      <c r="D53" s="26" t="s">
        <v>231</v>
      </c>
      <c r="E53" s="25" t="s">
        <v>232</v>
      </c>
      <c r="F53" s="23" t="s">
        <v>230</v>
      </c>
    </row>
  </sheetData>
  <phoneticPr fontId="25" type="noConversion"/>
  <pageMargins left="0.7" right="0.7" top="0.75" bottom="0.75" header="0.3" footer="0.3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F2833-4BBF-45B6-BCCD-CF4E3E9E4838}">
  <sheetPr>
    <outlinePr summaryBelow="0" summaryRight="0"/>
  </sheetPr>
  <dimension ref="A1:C7"/>
  <sheetViews>
    <sheetView workbookViewId="0">
      <selection activeCell="C1" sqref="C1:C5"/>
    </sheetView>
  </sheetViews>
  <sheetFormatPr defaultColWidth="14" defaultRowHeight="12.75" x14ac:dyDescent="0.2"/>
  <sheetData>
    <row r="1" spans="1:3" x14ac:dyDescent="0.2">
      <c r="A1" s="20" t="s">
        <v>51</v>
      </c>
      <c r="B1" s="16" t="s">
        <v>7</v>
      </c>
      <c r="C1" s="20" t="s">
        <v>54</v>
      </c>
    </row>
    <row r="2" spans="1:3" x14ac:dyDescent="0.2">
      <c r="A2" s="12" t="s">
        <v>52</v>
      </c>
      <c r="B2" s="7" t="s">
        <v>14</v>
      </c>
      <c r="C2" s="12" t="s">
        <v>55</v>
      </c>
    </row>
    <row r="3" spans="1:3" x14ac:dyDescent="0.2">
      <c r="A3" s="12" t="s">
        <v>53</v>
      </c>
      <c r="B3" s="7" t="s">
        <v>21</v>
      </c>
      <c r="C3" s="12" t="s">
        <v>56</v>
      </c>
    </row>
    <row r="4" spans="1:3" x14ac:dyDescent="0.2">
      <c r="B4" s="8" t="s">
        <v>26</v>
      </c>
      <c r="C4" s="12" t="s">
        <v>18</v>
      </c>
    </row>
    <row r="5" spans="1:3" x14ac:dyDescent="0.2">
      <c r="B5" s="8" t="s">
        <v>30</v>
      </c>
      <c r="C5" s="12" t="s">
        <v>19</v>
      </c>
    </row>
    <row r="6" spans="1:3" x14ac:dyDescent="0.2">
      <c r="B6" s="8" t="s">
        <v>31</v>
      </c>
    </row>
    <row r="7" spans="1:3" x14ac:dyDescent="0.2">
      <c r="B7" s="8" t="s">
        <v>33</v>
      </c>
    </row>
  </sheetData>
  <phoneticPr fontId="25" type="noConversion"/>
  <pageMargins left="0.7" right="0.7" top="0.75" bottom="0.75" header="0.3" footer="0.3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473A4-A3B5-410D-9B2D-54345364E5DB}">
  <sheetPr>
    <outlinePr summaryBelow="0" summaryRight="0"/>
  </sheetPr>
  <dimension ref="A1:B5"/>
  <sheetViews>
    <sheetView workbookViewId="0">
      <selection sqref="A1:A5"/>
    </sheetView>
  </sheetViews>
  <sheetFormatPr defaultColWidth="14" defaultRowHeight="12.75" x14ac:dyDescent="0.2"/>
  <cols>
    <col min="2" max="2" width="53" customWidth="1"/>
  </cols>
  <sheetData>
    <row r="1" spans="1:2" x14ac:dyDescent="0.2">
      <c r="A1" s="20" t="s">
        <v>54</v>
      </c>
    </row>
    <row r="2" spans="1:2" x14ac:dyDescent="0.2">
      <c r="A2" s="12" t="s">
        <v>55</v>
      </c>
    </row>
    <row r="3" spans="1:2" x14ac:dyDescent="0.2">
      <c r="A3" s="12" t="s">
        <v>56</v>
      </c>
      <c r="B3" s="21"/>
    </row>
    <row r="4" spans="1:2" x14ac:dyDescent="0.2">
      <c r="A4" s="12" t="s">
        <v>18</v>
      </c>
    </row>
    <row r="5" spans="1:2" x14ac:dyDescent="0.2">
      <c r="A5" s="12" t="s">
        <v>19</v>
      </c>
    </row>
  </sheetData>
  <phoneticPr fontId="25" type="noConversion"/>
  <pageMargins left="0.7" right="0.7" top="0.75" bottom="0.75" header="0.3" footer="0.3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2FCEA-3099-4355-B9A9-AACB95B00356}">
  <sheetPr>
    <outlinePr summaryBelow="0" summaryRight="0"/>
  </sheetPr>
  <dimension ref="A1:A19"/>
  <sheetViews>
    <sheetView workbookViewId="0">
      <selection sqref="A1:A19"/>
    </sheetView>
  </sheetViews>
  <sheetFormatPr defaultColWidth="14" defaultRowHeight="12.75" x14ac:dyDescent="0.2"/>
  <cols>
    <col min="1" max="1" width="28" customWidth="1"/>
  </cols>
  <sheetData>
    <row r="1" spans="1:1" x14ac:dyDescent="0.2">
      <c r="A1" s="33" t="s">
        <v>233</v>
      </c>
    </row>
    <row r="2" spans="1:1" x14ac:dyDescent="0.2">
      <c r="A2" s="32" t="s">
        <v>234</v>
      </c>
    </row>
    <row r="3" spans="1:1" x14ac:dyDescent="0.2">
      <c r="A3" s="32" t="s">
        <v>235</v>
      </c>
    </row>
    <row r="4" spans="1:1" x14ac:dyDescent="0.2">
      <c r="A4" s="32" t="s">
        <v>236</v>
      </c>
    </row>
    <row r="5" spans="1:1" x14ac:dyDescent="0.2">
      <c r="A5" s="32" t="s">
        <v>237</v>
      </c>
    </row>
    <row r="6" spans="1:1" x14ac:dyDescent="0.2">
      <c r="A6" s="32" t="s">
        <v>238</v>
      </c>
    </row>
    <row r="7" spans="1:1" x14ac:dyDescent="0.2">
      <c r="A7" s="32" t="s">
        <v>239</v>
      </c>
    </row>
    <row r="8" spans="1:1" x14ac:dyDescent="0.2">
      <c r="A8" s="32" t="s">
        <v>240</v>
      </c>
    </row>
    <row r="9" spans="1:1" x14ac:dyDescent="0.2">
      <c r="A9" s="32" t="s">
        <v>241</v>
      </c>
    </row>
    <row r="10" spans="1:1" x14ac:dyDescent="0.2">
      <c r="A10" s="32" t="s">
        <v>242</v>
      </c>
    </row>
    <row r="11" spans="1:1" x14ac:dyDescent="0.2">
      <c r="A11" s="32" t="s">
        <v>243</v>
      </c>
    </row>
    <row r="12" spans="1:1" x14ac:dyDescent="0.2">
      <c r="A12" s="32" t="s">
        <v>244</v>
      </c>
    </row>
    <row r="13" spans="1:1" x14ac:dyDescent="0.2">
      <c r="A13" s="32" t="s">
        <v>245</v>
      </c>
    </row>
    <row r="14" spans="1:1" x14ac:dyDescent="0.2">
      <c r="A14" s="32" t="s">
        <v>246</v>
      </c>
    </row>
    <row r="15" spans="1:1" x14ac:dyDescent="0.2">
      <c r="A15" s="32" t="s">
        <v>247</v>
      </c>
    </row>
    <row r="16" spans="1:1" x14ac:dyDescent="0.2">
      <c r="A16" s="32" t="s">
        <v>248</v>
      </c>
    </row>
    <row r="17" spans="1:1" x14ac:dyDescent="0.2">
      <c r="A17" s="32" t="s">
        <v>249</v>
      </c>
    </row>
    <row r="18" spans="1:1" x14ac:dyDescent="0.2">
      <c r="A18" s="32" t="s">
        <v>250</v>
      </c>
    </row>
    <row r="19" spans="1:1" x14ac:dyDescent="0.2">
      <c r="A19" s="32" t="s">
        <v>251</v>
      </c>
    </row>
  </sheetData>
  <phoneticPr fontId="25" type="noConversion"/>
  <pageMargins left="0.7" right="0.7" top="0.75" bottom="0.75" header="0.3" footer="0.3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34DE9-B160-4422-A95E-68FA20FE3469}">
  <sheetPr>
    <outlinePr summaryBelow="0" summaryRight="0"/>
  </sheetPr>
  <dimension ref="A1:E10"/>
  <sheetViews>
    <sheetView workbookViewId="0">
      <selection activeCell="B1" sqref="B1:C1048576"/>
    </sheetView>
  </sheetViews>
  <sheetFormatPr defaultColWidth="14" defaultRowHeight="12.75" x14ac:dyDescent="0.2"/>
  <sheetData>
    <row r="1" spans="1:5" x14ac:dyDescent="0.2">
      <c r="A1" s="36" t="s">
        <v>252</v>
      </c>
      <c r="B1" s="36" t="s">
        <v>253</v>
      </c>
      <c r="C1" s="36" t="s">
        <v>254</v>
      </c>
      <c r="D1" s="36" t="s">
        <v>255</v>
      </c>
      <c r="E1" s="36" t="s">
        <v>256</v>
      </c>
    </row>
    <row r="2" spans="1:5" ht="76.5" x14ac:dyDescent="0.2">
      <c r="A2" s="34" t="s">
        <v>34</v>
      </c>
      <c r="B2" s="34" t="s">
        <v>257</v>
      </c>
      <c r="C2" s="34" t="s">
        <v>257</v>
      </c>
      <c r="D2" s="35">
        <v>0.05</v>
      </c>
      <c r="E2" s="34" t="s">
        <v>258</v>
      </c>
    </row>
    <row r="3" spans="1:5" x14ac:dyDescent="0.2">
      <c r="A3" s="34" t="s">
        <v>259</v>
      </c>
      <c r="B3" s="34" t="s">
        <v>257</v>
      </c>
      <c r="C3" s="34" t="s">
        <v>257</v>
      </c>
      <c r="D3" s="35">
        <v>0.04</v>
      </c>
      <c r="E3" s="34" t="s">
        <v>260</v>
      </c>
    </row>
    <row r="4" spans="1:5" x14ac:dyDescent="0.2">
      <c r="A4" s="34" t="s">
        <v>261</v>
      </c>
      <c r="B4" s="34" t="s">
        <v>257</v>
      </c>
      <c r="C4" s="34" t="s">
        <v>257</v>
      </c>
      <c r="D4" s="35">
        <v>0.04</v>
      </c>
      <c r="E4" s="34" t="s">
        <v>260</v>
      </c>
    </row>
    <row r="5" spans="1:5" x14ac:dyDescent="0.2">
      <c r="A5" s="124" t="s">
        <v>262</v>
      </c>
      <c r="B5" s="125" t="s">
        <v>263</v>
      </c>
      <c r="C5" s="34" t="s">
        <v>264</v>
      </c>
      <c r="D5" s="126">
        <v>0.03</v>
      </c>
      <c r="E5" s="34" t="s">
        <v>260</v>
      </c>
    </row>
    <row r="6" spans="1:5" x14ac:dyDescent="0.2">
      <c r="A6" s="124"/>
      <c r="B6" s="125"/>
      <c r="C6" s="34" t="s">
        <v>265</v>
      </c>
      <c r="D6" s="126"/>
      <c r="E6" s="34" t="s">
        <v>260</v>
      </c>
    </row>
    <row r="7" spans="1:5" ht="25.5" x14ac:dyDescent="0.2">
      <c r="A7" s="124"/>
      <c r="B7" s="125"/>
      <c r="C7" s="34" t="s">
        <v>266</v>
      </c>
      <c r="D7" s="126"/>
      <c r="E7" s="34" t="s">
        <v>260</v>
      </c>
    </row>
    <row r="8" spans="1:5" x14ac:dyDescent="0.2">
      <c r="A8" s="124"/>
      <c r="B8" s="125" t="s">
        <v>267</v>
      </c>
      <c r="C8" s="34" t="s">
        <v>264</v>
      </c>
      <c r="D8" s="126"/>
      <c r="E8" s="34" t="s">
        <v>260</v>
      </c>
    </row>
    <row r="9" spans="1:5" x14ac:dyDescent="0.2">
      <c r="A9" s="124"/>
      <c r="B9" s="125"/>
      <c r="C9" s="34" t="s">
        <v>265</v>
      </c>
      <c r="D9" s="126"/>
      <c r="E9" s="34" t="s">
        <v>260</v>
      </c>
    </row>
    <row r="10" spans="1:5" ht="25.5" x14ac:dyDescent="0.2">
      <c r="A10" s="124"/>
      <c r="B10" s="125"/>
      <c r="C10" s="34" t="s">
        <v>266</v>
      </c>
      <c r="D10" s="126"/>
      <c r="E10" s="34" t="s">
        <v>260</v>
      </c>
    </row>
  </sheetData>
  <mergeCells count="4">
    <mergeCell ref="A5:A10"/>
    <mergeCell ref="B5:B7"/>
    <mergeCell ref="B8:B10"/>
    <mergeCell ref="D5:D10"/>
  </mergeCells>
  <phoneticPr fontId="25" type="noConversion"/>
  <pageMargins left="0.7" right="0.7" top="0.75" bottom="0.75" header="0.3" footer="0.3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29C03-8CA4-4A3E-A386-300917ED06E7}">
  <sheetPr>
    <outlinePr summaryBelow="0" summaryRight="0"/>
  </sheetPr>
  <dimension ref="A1:D10"/>
  <sheetViews>
    <sheetView workbookViewId="0">
      <selection activeCell="D1" sqref="D1:D1048576"/>
    </sheetView>
  </sheetViews>
  <sheetFormatPr defaultColWidth="14" defaultRowHeight="12.75" x14ac:dyDescent="0.2"/>
  <sheetData>
    <row r="1" spans="1:4" x14ac:dyDescent="0.2">
      <c r="A1" s="12" t="s">
        <v>268</v>
      </c>
      <c r="B1" s="12" t="s">
        <v>269</v>
      </c>
      <c r="C1" s="12" t="s">
        <v>270</v>
      </c>
      <c r="D1" s="12"/>
    </row>
    <row r="2" spans="1:4" x14ac:dyDescent="0.2">
      <c r="A2" s="39" t="s">
        <v>34</v>
      </c>
      <c r="B2" s="39" t="s">
        <v>91</v>
      </c>
      <c r="C2" s="38">
        <v>0.05</v>
      </c>
    </row>
    <row r="3" spans="1:4" x14ac:dyDescent="0.2">
      <c r="A3" s="39" t="s">
        <v>34</v>
      </c>
      <c r="B3" s="39" t="s">
        <v>366</v>
      </c>
      <c r="C3" s="12">
        <v>0</v>
      </c>
      <c r="D3" s="12"/>
    </row>
    <row r="4" spans="1:4" x14ac:dyDescent="0.2">
      <c r="A4" s="39" t="s">
        <v>34</v>
      </c>
      <c r="B4" s="39" t="s">
        <v>70</v>
      </c>
      <c r="C4" s="38">
        <v>0.03</v>
      </c>
    </row>
    <row r="5" spans="1:4" x14ac:dyDescent="0.2">
      <c r="A5" s="39" t="s">
        <v>34</v>
      </c>
      <c r="B5" s="39" t="s">
        <v>367</v>
      </c>
      <c r="C5" s="38">
        <v>0.02</v>
      </c>
    </row>
    <row r="6" spans="1:4" x14ac:dyDescent="0.2">
      <c r="A6" s="39" t="s">
        <v>34</v>
      </c>
      <c r="B6" s="39" t="s">
        <v>368</v>
      </c>
      <c r="C6" s="38">
        <v>0.02</v>
      </c>
    </row>
    <row r="7" spans="1:4" x14ac:dyDescent="0.2">
      <c r="A7" s="39" t="s">
        <v>34</v>
      </c>
      <c r="B7" s="39" t="s">
        <v>271</v>
      </c>
      <c r="C7" s="12">
        <v>0</v>
      </c>
      <c r="D7" s="12"/>
    </row>
    <row r="8" spans="1:4" x14ac:dyDescent="0.2">
      <c r="A8" s="39" t="s">
        <v>34</v>
      </c>
      <c r="B8" s="39" t="s">
        <v>369</v>
      </c>
      <c r="C8" s="40">
        <v>2.5000000000000001E-2</v>
      </c>
    </row>
    <row r="9" spans="1:4" x14ac:dyDescent="0.2">
      <c r="A9" s="39" t="s">
        <v>34</v>
      </c>
      <c r="B9" s="39" t="s">
        <v>196</v>
      </c>
      <c r="C9" s="38">
        <v>7.0000000000000007E-2</v>
      </c>
    </row>
    <row r="10" spans="1:4" x14ac:dyDescent="0.2">
      <c r="A10" s="37"/>
    </row>
  </sheetData>
  <phoneticPr fontId="25" type="noConversion"/>
  <pageMargins left="0.7" right="0.7" top="0.75" bottom="0.75" header="0.3" footer="0.3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E8C7-F287-4616-BC2C-3C97AB2B0D4E}">
  <sheetPr>
    <outlinePr summaryBelow="0" summaryRight="0"/>
  </sheetPr>
  <dimension ref="A1:BS7"/>
  <sheetViews>
    <sheetView workbookViewId="0"/>
  </sheetViews>
  <sheetFormatPr defaultColWidth="14" defaultRowHeight="12.75" x14ac:dyDescent="0.2"/>
  <cols>
    <col min="1" max="1" width="38" customWidth="1"/>
    <col min="2" max="3" width="21" customWidth="1"/>
    <col min="4" max="4" width="24" customWidth="1"/>
    <col min="5" max="6" width="29" customWidth="1"/>
    <col min="7" max="7" width="52" customWidth="1"/>
    <col min="8" max="8" width="24" customWidth="1"/>
    <col min="9" max="9" width="23" customWidth="1"/>
    <col min="10" max="10" width="22" customWidth="1"/>
    <col min="11" max="12" width="24" customWidth="1"/>
    <col min="13" max="13" width="26" customWidth="1"/>
    <col min="14" max="14" width="21" customWidth="1"/>
    <col min="15" max="15" width="22" customWidth="1"/>
    <col min="16" max="16" width="41" customWidth="1"/>
    <col min="17" max="17" width="46" customWidth="1"/>
    <col min="18" max="19" width="31" customWidth="1"/>
    <col min="20" max="20" width="60" customWidth="1"/>
    <col min="21" max="21" width="28" customWidth="1"/>
    <col min="22" max="22" width="33" customWidth="1"/>
    <col min="23" max="23" width="25" customWidth="1"/>
    <col min="24" max="24" width="29" customWidth="1"/>
    <col min="25" max="25" width="64" customWidth="1"/>
    <col min="26" max="26" width="31" customWidth="1"/>
    <col min="27" max="27" width="29" customWidth="1"/>
    <col min="28" max="28" width="32" customWidth="1"/>
    <col min="29" max="29" width="31" customWidth="1"/>
    <col min="30" max="30" width="29" customWidth="1"/>
    <col min="31" max="31" width="34" customWidth="1"/>
    <col min="32" max="32" width="27" customWidth="1"/>
    <col min="33" max="40" width="43" customWidth="1"/>
  </cols>
  <sheetData>
    <row r="1" spans="1:71" ht="25.5" x14ac:dyDescent="0.2">
      <c r="A1" s="44" t="s">
        <v>57</v>
      </c>
      <c r="B1" s="45" t="s">
        <v>58</v>
      </c>
      <c r="C1" s="45" t="s">
        <v>272</v>
      </c>
      <c r="D1" s="41" t="s">
        <v>3</v>
      </c>
      <c r="E1" s="41" t="s">
        <v>273</v>
      </c>
      <c r="F1" s="41" t="s">
        <v>51</v>
      </c>
      <c r="G1" s="41" t="s">
        <v>274</v>
      </c>
      <c r="H1" s="41" t="s">
        <v>233</v>
      </c>
      <c r="I1" s="41" t="s">
        <v>275</v>
      </c>
      <c r="J1" s="41" t="s">
        <v>276</v>
      </c>
      <c r="K1" s="41" t="s">
        <v>6</v>
      </c>
      <c r="L1" s="41" t="s">
        <v>277</v>
      </c>
      <c r="M1" s="41" t="s">
        <v>278</v>
      </c>
      <c r="N1" s="41" t="s">
        <v>279</v>
      </c>
      <c r="O1" s="41" t="s">
        <v>280</v>
      </c>
      <c r="P1" s="41" t="s">
        <v>281</v>
      </c>
      <c r="Q1" s="41" t="s">
        <v>282</v>
      </c>
      <c r="R1" s="41" t="s">
        <v>283</v>
      </c>
      <c r="S1" s="41" t="s">
        <v>284</v>
      </c>
      <c r="T1" s="41" t="s">
        <v>285</v>
      </c>
      <c r="U1" s="41" t="s">
        <v>286</v>
      </c>
      <c r="V1" s="41" t="s">
        <v>287</v>
      </c>
      <c r="W1" s="41" t="s">
        <v>288</v>
      </c>
      <c r="X1" s="41" t="s">
        <v>289</v>
      </c>
      <c r="Y1" s="41" t="s">
        <v>290</v>
      </c>
      <c r="Z1" s="41" t="s">
        <v>291</v>
      </c>
      <c r="AA1" s="41" t="s">
        <v>292</v>
      </c>
      <c r="AB1" s="41" t="s">
        <v>293</v>
      </c>
      <c r="AC1" s="41" t="s">
        <v>294</v>
      </c>
      <c r="AD1" s="41" t="s">
        <v>295</v>
      </c>
      <c r="AE1" s="41" t="s">
        <v>296</v>
      </c>
      <c r="AF1" s="41" t="s">
        <v>297</v>
      </c>
      <c r="AG1" s="41" t="s">
        <v>298</v>
      </c>
      <c r="AH1" s="41" t="s">
        <v>299</v>
      </c>
      <c r="AI1" s="41" t="s">
        <v>300</v>
      </c>
      <c r="AJ1" s="41" t="s">
        <v>301</v>
      </c>
      <c r="AK1" s="41" t="s">
        <v>302</v>
      </c>
      <c r="AL1" s="41" t="s">
        <v>303</v>
      </c>
      <c r="AM1" s="41" t="s">
        <v>304</v>
      </c>
      <c r="AN1" s="41" t="s">
        <v>305</v>
      </c>
      <c r="AO1" s="42">
        <v>45924</v>
      </c>
      <c r="AP1" s="42">
        <v>45925</v>
      </c>
      <c r="AQ1" s="42">
        <v>45926</v>
      </c>
      <c r="AR1" s="42">
        <v>45927</v>
      </c>
      <c r="AS1" s="42">
        <v>45928</v>
      </c>
      <c r="AT1" s="42">
        <v>45929</v>
      </c>
      <c r="AU1" s="42">
        <v>45930</v>
      </c>
      <c r="AV1" s="42">
        <v>45931</v>
      </c>
      <c r="AW1" s="42">
        <v>45932</v>
      </c>
      <c r="AX1" s="42">
        <v>45933</v>
      </c>
      <c r="AY1" s="42">
        <v>45934</v>
      </c>
      <c r="AZ1" s="42">
        <v>45935</v>
      </c>
      <c r="BA1" s="42">
        <v>45936</v>
      </c>
      <c r="BB1" s="42">
        <v>45937</v>
      </c>
      <c r="BC1" s="42">
        <v>45938</v>
      </c>
      <c r="BD1" s="42">
        <v>45939</v>
      </c>
      <c r="BE1" s="42">
        <v>45940</v>
      </c>
      <c r="BF1" s="42">
        <v>45941</v>
      </c>
      <c r="BG1" s="42">
        <v>45944</v>
      </c>
      <c r="BH1" s="42">
        <v>45945</v>
      </c>
      <c r="BI1" s="43">
        <v>45946</v>
      </c>
      <c r="BJ1" s="43">
        <v>45947</v>
      </c>
      <c r="BK1" s="43">
        <v>45948</v>
      </c>
      <c r="BL1" s="43">
        <v>45949</v>
      </c>
      <c r="BM1" s="43">
        <v>45950</v>
      </c>
      <c r="BN1" s="43">
        <v>45951</v>
      </c>
      <c r="BO1" s="43">
        <v>45952</v>
      </c>
      <c r="BP1" s="43">
        <v>45953</v>
      </c>
      <c r="BQ1" s="43">
        <v>45954</v>
      </c>
      <c r="BR1" s="43">
        <v>45955</v>
      </c>
      <c r="BS1" s="43">
        <v>45955</v>
      </c>
    </row>
    <row r="2" spans="1:71" ht="63.75" x14ac:dyDescent="0.2">
      <c r="A2" s="21" t="s">
        <v>306</v>
      </c>
      <c r="B2" s="21" t="s">
        <v>1</v>
      </c>
      <c r="C2" s="21" t="s">
        <v>307</v>
      </c>
      <c r="D2" s="21" t="s">
        <v>308</v>
      </c>
      <c r="E2" s="21" t="s">
        <v>307</v>
      </c>
      <c r="F2" s="21" t="s">
        <v>309</v>
      </c>
      <c r="G2" s="21" t="s">
        <v>310</v>
      </c>
      <c r="H2" s="21" t="s">
        <v>311</v>
      </c>
      <c r="I2" s="21" t="s">
        <v>312</v>
      </c>
      <c r="J2" s="21" t="s">
        <v>313</v>
      </c>
      <c r="K2" s="21" t="s">
        <v>314</v>
      </c>
      <c r="L2" s="21" t="s">
        <v>315</v>
      </c>
      <c r="M2" s="21" t="s">
        <v>0</v>
      </c>
      <c r="N2" s="21" t="s">
        <v>316</v>
      </c>
      <c r="O2" s="21" t="s">
        <v>316</v>
      </c>
      <c r="P2" s="21" t="s">
        <v>317</v>
      </c>
      <c r="Q2" s="21" t="s">
        <v>2</v>
      </c>
      <c r="R2" s="21" t="s">
        <v>318</v>
      </c>
      <c r="S2" s="21" t="s">
        <v>319</v>
      </c>
      <c r="T2" s="21" t="s">
        <v>320</v>
      </c>
      <c r="U2" s="21" t="s">
        <v>321</v>
      </c>
      <c r="V2" s="21" t="s">
        <v>322</v>
      </c>
      <c r="W2" s="21" t="s">
        <v>323</v>
      </c>
      <c r="X2" s="21" t="s">
        <v>324</v>
      </c>
      <c r="Y2" s="21" t="s">
        <v>325</v>
      </c>
      <c r="Z2" s="21" t="s">
        <v>326</v>
      </c>
      <c r="AA2" s="21" t="s">
        <v>327</v>
      </c>
      <c r="AB2" s="21" t="s">
        <v>328</v>
      </c>
      <c r="AC2" s="21" t="s">
        <v>329</v>
      </c>
      <c r="AD2" s="21" t="s">
        <v>330</v>
      </c>
      <c r="AE2" s="21" t="s">
        <v>331</v>
      </c>
      <c r="AF2" s="21" t="s">
        <v>332</v>
      </c>
      <c r="AG2" s="21" t="s">
        <v>331</v>
      </c>
      <c r="AH2" s="46" t="s">
        <v>333</v>
      </c>
      <c r="AI2" s="46" t="s">
        <v>333</v>
      </c>
      <c r="AJ2" s="46" t="s">
        <v>333</v>
      </c>
      <c r="AK2" s="46" t="s">
        <v>333</v>
      </c>
      <c r="AL2" s="46" t="s">
        <v>333</v>
      </c>
      <c r="AM2" s="46" t="s">
        <v>333</v>
      </c>
      <c r="AN2" s="46" t="s">
        <v>333</v>
      </c>
      <c r="AO2" s="21" t="s">
        <v>334</v>
      </c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</row>
    <row r="3" spans="1:71" ht="89.25" x14ac:dyDescent="0.2">
      <c r="D3" s="12" t="s">
        <v>335</v>
      </c>
      <c r="Q3" s="21" t="s">
        <v>336</v>
      </c>
      <c r="R3" s="21" t="s">
        <v>336</v>
      </c>
      <c r="S3" s="21" t="s">
        <v>336</v>
      </c>
      <c r="T3" s="21" t="s">
        <v>336</v>
      </c>
      <c r="U3" s="21" t="s">
        <v>336</v>
      </c>
      <c r="AA3" s="21" t="s">
        <v>336</v>
      </c>
      <c r="AB3" s="21" t="s">
        <v>336</v>
      </c>
      <c r="AC3" s="21" t="s">
        <v>336</v>
      </c>
      <c r="AD3" s="21" t="s">
        <v>336</v>
      </c>
      <c r="AO3" s="21" t="s">
        <v>336</v>
      </c>
      <c r="AP3" s="21"/>
      <c r="AQ3" s="21"/>
    </row>
    <row r="4" spans="1:71" ht="76.5" x14ac:dyDescent="0.2">
      <c r="D4" s="12" t="s">
        <v>337</v>
      </c>
      <c r="Q4" s="21"/>
      <c r="R4" s="21" t="s">
        <v>338</v>
      </c>
      <c r="S4" s="21" t="s">
        <v>338</v>
      </c>
      <c r="T4" s="21" t="s">
        <v>338</v>
      </c>
      <c r="U4" s="21" t="s">
        <v>338</v>
      </c>
      <c r="AA4" s="21" t="s">
        <v>338</v>
      </c>
      <c r="AB4" s="21" t="s">
        <v>338</v>
      </c>
      <c r="AC4" s="21" t="s">
        <v>338</v>
      </c>
      <c r="AD4" s="21" t="s">
        <v>338</v>
      </c>
      <c r="AG4" s="12"/>
      <c r="AO4" s="21" t="s">
        <v>338</v>
      </c>
      <c r="AP4" s="21"/>
      <c r="AQ4" s="21"/>
    </row>
    <row r="6" spans="1:71" x14ac:dyDescent="0.2">
      <c r="A6" s="12"/>
    </row>
    <row r="7" spans="1:71" x14ac:dyDescent="0.2">
      <c r="A7" s="12"/>
    </row>
  </sheetData>
  <phoneticPr fontId="25" type="noConversion"/>
  <pageMargins left="0.7" right="0.7" top="0.75" bottom="0.75" header="0.3" footer="0.3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6366-67FD-4DE4-B9E1-473D0725A32B}">
  <sheetPr>
    <outlinePr summaryBelow="0" summaryRight="0"/>
  </sheetPr>
  <dimension ref="A1:BR59"/>
  <sheetViews>
    <sheetView workbookViewId="0"/>
  </sheetViews>
  <sheetFormatPr defaultColWidth="14" defaultRowHeight="12.75" x14ac:dyDescent="0.2"/>
  <cols>
    <col min="3" max="4" width="14" customWidth="1"/>
    <col min="6" max="6" width="14" customWidth="1"/>
    <col min="12" max="12" width="14" customWidth="1"/>
    <col min="19" max="21" width="14" customWidth="1"/>
    <col min="25" max="40" width="14" customWidth="1"/>
  </cols>
  <sheetData>
    <row r="1" spans="1:70" ht="38.25" x14ac:dyDescent="0.2">
      <c r="A1" s="117" t="s">
        <v>57</v>
      </c>
      <c r="B1" s="116" t="s">
        <v>58</v>
      </c>
      <c r="C1" s="116" t="s">
        <v>272</v>
      </c>
      <c r="D1" s="113" t="s">
        <v>3</v>
      </c>
      <c r="E1" s="113" t="s">
        <v>273</v>
      </c>
      <c r="F1" s="113" t="s">
        <v>51</v>
      </c>
      <c r="G1" s="113" t="s">
        <v>274</v>
      </c>
      <c r="H1" s="113" t="s">
        <v>233</v>
      </c>
      <c r="I1" s="113" t="s">
        <v>275</v>
      </c>
      <c r="J1" s="113" t="s">
        <v>276</v>
      </c>
      <c r="K1" s="113" t="s">
        <v>6</v>
      </c>
      <c r="L1" s="113" t="s">
        <v>277</v>
      </c>
      <c r="M1" s="113" t="s">
        <v>278</v>
      </c>
      <c r="N1" s="113" t="s">
        <v>279</v>
      </c>
      <c r="O1" s="113" t="s">
        <v>280</v>
      </c>
      <c r="P1" s="113" t="s">
        <v>281</v>
      </c>
      <c r="Q1" s="113" t="s">
        <v>282</v>
      </c>
      <c r="R1" s="113" t="s">
        <v>283</v>
      </c>
      <c r="S1" s="41" t="s">
        <v>284</v>
      </c>
      <c r="T1" s="41" t="s">
        <v>285</v>
      </c>
      <c r="U1" s="41" t="s">
        <v>286</v>
      </c>
      <c r="V1" s="113" t="s">
        <v>287</v>
      </c>
      <c r="W1" s="113" t="s">
        <v>288</v>
      </c>
      <c r="X1" s="113" t="s">
        <v>289</v>
      </c>
      <c r="Y1" s="113" t="s">
        <v>290</v>
      </c>
      <c r="Z1" s="113" t="s">
        <v>291</v>
      </c>
      <c r="AA1" s="113" t="s">
        <v>292</v>
      </c>
      <c r="AB1" s="113" t="s">
        <v>293</v>
      </c>
      <c r="AC1" s="113" t="s">
        <v>295</v>
      </c>
      <c r="AD1" s="113" t="s">
        <v>297</v>
      </c>
      <c r="AE1" s="113" t="s">
        <v>294</v>
      </c>
      <c r="AF1" s="113" t="s">
        <v>296</v>
      </c>
      <c r="AG1" s="113" t="s">
        <v>298</v>
      </c>
      <c r="AH1" s="41" t="s">
        <v>299</v>
      </c>
      <c r="AI1" s="41" t="s">
        <v>300</v>
      </c>
      <c r="AJ1" s="41" t="s">
        <v>301</v>
      </c>
      <c r="AK1" s="41" t="s">
        <v>302</v>
      </c>
      <c r="AL1" s="41" t="s">
        <v>303</v>
      </c>
      <c r="AM1" s="41" t="s">
        <v>304</v>
      </c>
      <c r="AN1" s="41" t="s">
        <v>305</v>
      </c>
      <c r="AO1" s="114">
        <v>45924</v>
      </c>
      <c r="AP1" s="114">
        <v>45925</v>
      </c>
      <c r="AQ1" s="114">
        <v>45926</v>
      </c>
      <c r="AR1" s="114">
        <v>45927</v>
      </c>
      <c r="AS1" s="114">
        <v>45928</v>
      </c>
      <c r="AT1" s="114">
        <v>45929</v>
      </c>
      <c r="AU1" s="114">
        <v>45930</v>
      </c>
      <c r="AV1" s="114">
        <v>45931</v>
      </c>
      <c r="AW1" s="114">
        <v>45932</v>
      </c>
      <c r="AX1" s="114">
        <v>45933</v>
      </c>
      <c r="AY1" s="114">
        <v>45934</v>
      </c>
      <c r="AZ1" s="114">
        <v>45935</v>
      </c>
      <c r="BA1" s="114">
        <v>45936</v>
      </c>
      <c r="BB1" s="114">
        <v>45937</v>
      </c>
      <c r="BC1" s="114">
        <v>45938</v>
      </c>
      <c r="BD1" s="114">
        <v>45939</v>
      </c>
      <c r="BE1" s="114">
        <v>45940</v>
      </c>
      <c r="BF1" s="114">
        <v>45941</v>
      </c>
      <c r="BG1" s="114">
        <v>45944</v>
      </c>
      <c r="BH1" s="114">
        <v>45945</v>
      </c>
      <c r="BI1" s="115">
        <v>45946</v>
      </c>
      <c r="BJ1" s="115">
        <v>45947</v>
      </c>
      <c r="BK1" s="115">
        <v>45948</v>
      </c>
      <c r="BL1" s="115">
        <v>45949</v>
      </c>
      <c r="BM1" s="115">
        <v>45950</v>
      </c>
      <c r="BN1" s="115">
        <v>45951</v>
      </c>
      <c r="BO1" s="115">
        <v>45952</v>
      </c>
      <c r="BP1" s="115">
        <v>45953</v>
      </c>
      <c r="BQ1" s="115">
        <v>45954</v>
      </c>
      <c r="BR1" s="115">
        <v>45955</v>
      </c>
    </row>
    <row r="2" spans="1:70" ht="25.5" x14ac:dyDescent="0.2">
      <c r="A2" s="127" t="s">
        <v>59</v>
      </c>
      <c r="B2" s="128" t="s">
        <v>70</v>
      </c>
      <c r="C2" s="135" t="s">
        <v>339</v>
      </c>
      <c r="D2" s="133" t="s">
        <v>259</v>
      </c>
      <c r="E2" s="132" t="s">
        <v>340</v>
      </c>
      <c r="F2" s="51" t="s">
        <v>53</v>
      </c>
      <c r="G2" s="78" t="s">
        <v>341</v>
      </c>
      <c r="H2" s="49" t="s">
        <v>342</v>
      </c>
      <c r="I2" s="49" t="s">
        <v>12</v>
      </c>
      <c r="J2" s="49" t="s">
        <v>14</v>
      </c>
      <c r="K2" s="49" t="s">
        <v>13</v>
      </c>
      <c r="L2" s="49" t="s">
        <v>343</v>
      </c>
      <c r="M2" s="77" t="b">
        <v>1</v>
      </c>
      <c r="N2" s="76">
        <v>45924</v>
      </c>
      <c r="O2" s="76">
        <v>45942</v>
      </c>
      <c r="P2" s="77">
        <v>19</v>
      </c>
      <c r="Q2" s="79">
        <v>0.1235</v>
      </c>
      <c r="R2" s="52">
        <v>35619.230000000003</v>
      </c>
      <c r="S2" s="49">
        <f t="shared" ref="S2:S10" si="0">R2-T2-U2</f>
        <v>33838.268500000006</v>
      </c>
      <c r="T2" s="49">
        <f t="shared" ref="T2:T10" si="1">R2*0.05</f>
        <v>1780.9615000000003</v>
      </c>
      <c r="U2" s="52">
        <v>0</v>
      </c>
      <c r="V2" s="52">
        <v>1874.7</v>
      </c>
      <c r="W2" s="49" t="s">
        <v>15</v>
      </c>
      <c r="X2" s="89">
        <v>1</v>
      </c>
      <c r="Y2" s="75" t="s">
        <v>344</v>
      </c>
      <c r="Z2" s="75" t="s">
        <v>344</v>
      </c>
      <c r="AA2" s="88">
        <v>35619231</v>
      </c>
      <c r="AB2" s="49" t="s">
        <v>344</v>
      </c>
      <c r="AC2" s="49" t="s">
        <v>344</v>
      </c>
      <c r="AD2" s="49" t="s">
        <v>344</v>
      </c>
      <c r="AE2" s="49" t="s">
        <v>344</v>
      </c>
      <c r="AF2" s="49" t="s">
        <v>344</v>
      </c>
      <c r="AG2" s="49" t="s">
        <v>344</v>
      </c>
      <c r="AH2" s="49"/>
      <c r="AI2" s="49"/>
      <c r="AJ2" s="49"/>
      <c r="AK2" s="49"/>
      <c r="AL2" s="49"/>
      <c r="AM2" s="49"/>
      <c r="AN2" s="49"/>
      <c r="AO2" s="52">
        <v>1874.7</v>
      </c>
      <c r="AP2" s="52">
        <v>1874.7</v>
      </c>
      <c r="AQ2" s="52">
        <v>1874.7</v>
      </c>
      <c r="AR2" s="49" t="s">
        <v>344</v>
      </c>
      <c r="AS2" s="49" t="s">
        <v>344</v>
      </c>
      <c r="AT2" s="49" t="s">
        <v>344</v>
      </c>
      <c r="AU2" s="49" t="s">
        <v>344</v>
      </c>
      <c r="AV2" s="49" t="s">
        <v>344</v>
      </c>
      <c r="AW2" s="49" t="s">
        <v>344</v>
      </c>
      <c r="AX2" s="49" t="s">
        <v>344</v>
      </c>
      <c r="AY2" s="49" t="s">
        <v>344</v>
      </c>
      <c r="AZ2" s="49" t="s">
        <v>344</v>
      </c>
      <c r="BA2" s="52">
        <v>1874.7</v>
      </c>
      <c r="BB2" s="52">
        <v>1874.7</v>
      </c>
      <c r="BC2" s="52">
        <v>1874.7</v>
      </c>
      <c r="BD2" s="49" t="s">
        <v>344</v>
      </c>
      <c r="BE2" s="49" t="s">
        <v>344</v>
      </c>
      <c r="BF2" s="49" t="s">
        <v>344</v>
      </c>
      <c r="BG2" s="49" t="s">
        <v>344</v>
      </c>
      <c r="BH2" s="49" t="s">
        <v>344</v>
      </c>
      <c r="BI2" s="110"/>
      <c r="BJ2" s="110"/>
      <c r="BK2" s="110"/>
      <c r="BL2" s="110"/>
      <c r="BM2" s="110"/>
      <c r="BN2" s="110"/>
      <c r="BO2" s="110"/>
      <c r="BP2" s="110"/>
      <c r="BQ2" s="110"/>
      <c r="BR2" s="110"/>
    </row>
    <row r="3" spans="1:70" ht="13.5" x14ac:dyDescent="0.2">
      <c r="A3" s="127"/>
      <c r="B3" s="128"/>
      <c r="C3" s="135"/>
      <c r="D3" s="133"/>
      <c r="E3" s="132"/>
      <c r="F3" s="51" t="s">
        <v>53</v>
      </c>
      <c r="G3" s="78" t="s">
        <v>341</v>
      </c>
      <c r="H3" s="49" t="s">
        <v>342</v>
      </c>
      <c r="I3" s="49" t="s">
        <v>345</v>
      </c>
      <c r="J3" s="49" t="s">
        <v>21</v>
      </c>
      <c r="K3" s="49" t="s">
        <v>20</v>
      </c>
      <c r="L3" s="49" t="s">
        <v>343</v>
      </c>
      <c r="M3" s="77" t="b">
        <v>1</v>
      </c>
      <c r="N3" s="76">
        <v>45924</v>
      </c>
      <c r="O3" s="76">
        <v>45942</v>
      </c>
      <c r="P3" s="77">
        <v>19</v>
      </c>
      <c r="Q3" s="79">
        <v>4.1200000000000001E-2</v>
      </c>
      <c r="R3" s="52">
        <v>11873.08</v>
      </c>
      <c r="S3" s="49">
        <f t="shared" si="0"/>
        <v>11279.425999999999</v>
      </c>
      <c r="T3" s="49">
        <f t="shared" si="1"/>
        <v>593.654</v>
      </c>
      <c r="U3" s="52">
        <v>0</v>
      </c>
      <c r="V3" s="52">
        <v>624.9</v>
      </c>
      <c r="W3" s="49" t="s">
        <v>22</v>
      </c>
      <c r="X3" s="89">
        <v>10</v>
      </c>
      <c r="Y3" s="89">
        <v>0.2</v>
      </c>
      <c r="Z3" s="75" t="s">
        <v>344</v>
      </c>
      <c r="AA3" s="88">
        <v>1187308</v>
      </c>
      <c r="AB3" s="88">
        <v>59365</v>
      </c>
      <c r="AC3" s="49" t="s">
        <v>344</v>
      </c>
      <c r="AD3" s="49" t="s">
        <v>344</v>
      </c>
      <c r="AE3" s="79">
        <v>0.05</v>
      </c>
      <c r="AF3" s="49" t="s">
        <v>344</v>
      </c>
      <c r="AG3" s="49" t="s">
        <v>344</v>
      </c>
      <c r="AH3" s="49"/>
      <c r="AI3" s="49"/>
      <c r="AJ3" s="49"/>
      <c r="AK3" s="49"/>
      <c r="AL3" s="49"/>
      <c r="AM3" s="49"/>
      <c r="AN3" s="49"/>
      <c r="AO3" s="49" t="s">
        <v>346</v>
      </c>
      <c r="AP3" s="49" t="s">
        <v>346</v>
      </c>
      <c r="AQ3" s="49" t="s">
        <v>346</v>
      </c>
      <c r="AR3" s="49" t="s">
        <v>346</v>
      </c>
      <c r="AS3" s="49" t="s">
        <v>346</v>
      </c>
      <c r="AT3" s="49" t="s">
        <v>346</v>
      </c>
      <c r="AU3" s="49" t="s">
        <v>346</v>
      </c>
      <c r="AV3" s="49" t="s">
        <v>346</v>
      </c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0"/>
      <c r="BK3" s="110"/>
      <c r="BL3" s="110"/>
      <c r="BM3" s="110"/>
      <c r="BN3" s="110"/>
      <c r="BO3" s="110"/>
      <c r="BP3" s="110"/>
      <c r="BQ3" s="110"/>
      <c r="BR3" s="110"/>
    </row>
    <row r="4" spans="1:70" ht="25.5" x14ac:dyDescent="0.2">
      <c r="A4" s="127"/>
      <c r="B4" s="128"/>
      <c r="C4" s="135"/>
      <c r="D4" s="133"/>
      <c r="E4" s="132"/>
      <c r="F4" s="51" t="s">
        <v>53</v>
      </c>
      <c r="G4" s="78" t="s">
        <v>341</v>
      </c>
      <c r="H4" s="49" t="s">
        <v>342</v>
      </c>
      <c r="I4" s="49" t="s">
        <v>24</v>
      </c>
      <c r="J4" s="49" t="s">
        <v>14</v>
      </c>
      <c r="K4" s="49" t="s">
        <v>13</v>
      </c>
      <c r="L4" s="49" t="s">
        <v>343</v>
      </c>
      <c r="M4" s="77" t="b">
        <v>1</v>
      </c>
      <c r="N4" s="76">
        <v>45924</v>
      </c>
      <c r="O4" s="76">
        <v>45942</v>
      </c>
      <c r="P4" s="77">
        <v>19</v>
      </c>
      <c r="Q4" s="79">
        <v>8.2400000000000001E-2</v>
      </c>
      <c r="R4" s="52">
        <v>23746.15</v>
      </c>
      <c r="S4" s="49">
        <f t="shared" si="0"/>
        <v>22558.842500000002</v>
      </c>
      <c r="T4" s="49">
        <f t="shared" si="1"/>
        <v>1187.3075000000001</v>
      </c>
      <c r="U4" s="52">
        <v>0</v>
      </c>
      <c r="V4" s="52">
        <v>1249.8</v>
      </c>
      <c r="W4" s="49" t="s">
        <v>25</v>
      </c>
      <c r="X4" s="89">
        <v>2</v>
      </c>
      <c r="Y4" s="75" t="s">
        <v>344</v>
      </c>
      <c r="Z4" s="89">
        <v>0.3</v>
      </c>
      <c r="AA4" s="88">
        <v>11873077</v>
      </c>
      <c r="AB4" s="49" t="s">
        <v>344</v>
      </c>
      <c r="AC4" s="49" t="s">
        <v>344</v>
      </c>
      <c r="AD4" s="88">
        <v>79154</v>
      </c>
      <c r="AE4" s="49" t="s">
        <v>344</v>
      </c>
      <c r="AF4" s="49" t="s">
        <v>344</v>
      </c>
      <c r="AG4" s="79">
        <v>6.7000000000000002E-3</v>
      </c>
      <c r="AH4" s="79"/>
      <c r="AI4" s="79"/>
      <c r="AJ4" s="79"/>
      <c r="AK4" s="79"/>
      <c r="AL4" s="79"/>
      <c r="AM4" s="79"/>
      <c r="AN4" s="79"/>
      <c r="AO4" s="49" t="s">
        <v>346</v>
      </c>
      <c r="AP4" s="49" t="s">
        <v>346</v>
      </c>
      <c r="AQ4" s="49" t="s">
        <v>346</v>
      </c>
      <c r="AR4" s="49" t="s">
        <v>346</v>
      </c>
      <c r="AS4" s="49" t="s">
        <v>346</v>
      </c>
      <c r="AT4" s="49" t="s">
        <v>346</v>
      </c>
      <c r="AU4" s="49" t="s">
        <v>346</v>
      </c>
      <c r="AV4" s="49" t="s">
        <v>346</v>
      </c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</row>
    <row r="5" spans="1:70" ht="13.5" x14ac:dyDescent="0.2">
      <c r="A5" s="127"/>
      <c r="B5" s="128"/>
      <c r="C5" s="135"/>
      <c r="D5" s="133"/>
      <c r="E5" s="132"/>
      <c r="F5" s="51" t="s">
        <v>53</v>
      </c>
      <c r="G5" s="78" t="s">
        <v>341</v>
      </c>
      <c r="H5" s="49" t="s">
        <v>342</v>
      </c>
      <c r="I5" s="49" t="s">
        <v>27</v>
      </c>
      <c r="J5" s="49" t="s">
        <v>14</v>
      </c>
      <c r="K5" s="49" t="s">
        <v>28</v>
      </c>
      <c r="L5" s="49" t="s">
        <v>343</v>
      </c>
      <c r="M5" s="77" t="b">
        <v>1</v>
      </c>
      <c r="N5" s="76">
        <v>45924</v>
      </c>
      <c r="O5" s="76">
        <v>45942</v>
      </c>
      <c r="P5" s="77">
        <v>19</v>
      </c>
      <c r="Q5" s="79">
        <v>0.16470000000000001</v>
      </c>
      <c r="R5" s="52">
        <v>47492.31</v>
      </c>
      <c r="S5" s="49">
        <f t="shared" si="0"/>
        <v>45117.694499999998</v>
      </c>
      <c r="T5" s="49">
        <f t="shared" si="1"/>
        <v>2374.6154999999999</v>
      </c>
      <c r="U5" s="52">
        <v>0</v>
      </c>
      <c r="V5" s="74">
        <v>2499.6</v>
      </c>
      <c r="W5" s="49" t="s">
        <v>29</v>
      </c>
      <c r="X5" s="89">
        <v>3</v>
      </c>
      <c r="Y5" s="75" t="s">
        <v>344</v>
      </c>
      <c r="Z5" s="89">
        <v>0.4</v>
      </c>
      <c r="AA5" s="88">
        <v>15830769</v>
      </c>
      <c r="AB5" s="49" t="s">
        <v>344</v>
      </c>
      <c r="AC5" s="49" t="s">
        <v>344</v>
      </c>
      <c r="AD5" s="88">
        <v>118731</v>
      </c>
      <c r="AE5" s="49" t="s">
        <v>344</v>
      </c>
      <c r="AF5" s="49" t="s">
        <v>344</v>
      </c>
      <c r="AG5" s="79">
        <v>7.4999999999999997E-3</v>
      </c>
      <c r="AH5" s="79"/>
      <c r="AI5" s="79"/>
      <c r="AJ5" s="79"/>
      <c r="AK5" s="79"/>
      <c r="AL5" s="79"/>
      <c r="AM5" s="79"/>
      <c r="AN5" s="79"/>
      <c r="AO5" s="49" t="s">
        <v>346</v>
      </c>
      <c r="AP5" s="49" t="s">
        <v>346</v>
      </c>
      <c r="AQ5" s="49" t="s">
        <v>346</v>
      </c>
      <c r="AR5" s="49" t="s">
        <v>346</v>
      </c>
      <c r="AS5" s="49" t="s">
        <v>346</v>
      </c>
      <c r="AT5" s="49" t="s">
        <v>346</v>
      </c>
      <c r="AU5" s="49" t="s">
        <v>346</v>
      </c>
      <c r="AV5" s="49" t="s">
        <v>346</v>
      </c>
      <c r="AW5" s="49" t="s">
        <v>346</v>
      </c>
      <c r="AX5" s="49" t="s">
        <v>346</v>
      </c>
      <c r="AY5" s="119"/>
      <c r="AZ5" s="119"/>
      <c r="BA5" s="119"/>
      <c r="BB5" s="119"/>
      <c r="BC5" s="119"/>
      <c r="BD5" s="119"/>
      <c r="BE5" s="119"/>
      <c r="BF5" s="119"/>
      <c r="BG5" s="119"/>
      <c r="BH5" s="119"/>
      <c r="BI5" s="119"/>
      <c r="BJ5" s="119"/>
      <c r="BK5" s="119"/>
      <c r="BL5" s="119"/>
      <c r="BM5" s="119"/>
      <c r="BN5" s="119"/>
      <c r="BO5" s="119"/>
      <c r="BP5" s="119"/>
      <c r="BQ5" s="119"/>
      <c r="BR5" s="119"/>
    </row>
    <row r="6" spans="1:70" ht="13.5" x14ac:dyDescent="0.2">
      <c r="A6" s="127"/>
      <c r="B6" s="128"/>
      <c r="C6" s="135"/>
      <c r="D6" s="133"/>
      <c r="E6" s="132"/>
      <c r="F6" s="51" t="s">
        <v>53</v>
      </c>
      <c r="G6" s="78" t="s">
        <v>341</v>
      </c>
      <c r="H6" s="49" t="s">
        <v>347</v>
      </c>
      <c r="I6" s="49" t="s">
        <v>345</v>
      </c>
      <c r="J6" s="49" t="s">
        <v>21</v>
      </c>
      <c r="K6" s="49" t="s">
        <v>20</v>
      </c>
      <c r="L6" s="49" t="s">
        <v>343</v>
      </c>
      <c r="M6" s="77" t="b">
        <v>1</v>
      </c>
      <c r="N6" s="76">
        <v>45203</v>
      </c>
      <c r="O6" s="76">
        <v>45291</v>
      </c>
      <c r="P6" s="77">
        <v>89</v>
      </c>
      <c r="Q6" s="79">
        <v>6.9699999999999998E-2</v>
      </c>
      <c r="R6" s="52">
        <v>20111.54</v>
      </c>
      <c r="S6" s="49">
        <f t="shared" si="0"/>
        <v>19105.963</v>
      </c>
      <c r="T6" s="49">
        <f t="shared" si="1"/>
        <v>1005.5770000000001</v>
      </c>
      <c r="U6" s="52">
        <v>0</v>
      </c>
      <c r="V6" s="52">
        <v>225.97</v>
      </c>
      <c r="W6" s="49" t="s">
        <v>22</v>
      </c>
      <c r="X6" s="89">
        <v>5.15</v>
      </c>
      <c r="Y6" s="75" t="s">
        <v>344</v>
      </c>
      <c r="Z6" s="75" t="s">
        <v>344</v>
      </c>
      <c r="AA6" s="88">
        <v>3907841</v>
      </c>
      <c r="AB6" s="88">
        <v>1436538</v>
      </c>
      <c r="AC6" s="49" t="s">
        <v>344</v>
      </c>
      <c r="AD6" s="49" t="s">
        <v>344</v>
      </c>
      <c r="AE6" s="79">
        <v>0.36759999999999998</v>
      </c>
      <c r="AF6" s="49" t="s">
        <v>344</v>
      </c>
      <c r="AG6" s="49" t="s">
        <v>344</v>
      </c>
      <c r="AH6" s="49"/>
      <c r="AI6" s="49"/>
      <c r="AJ6" s="49"/>
      <c r="AK6" s="49"/>
      <c r="AL6" s="49"/>
      <c r="AM6" s="49"/>
      <c r="AN6" s="49"/>
      <c r="AO6" s="48"/>
      <c r="AP6" s="48"/>
      <c r="AQ6" s="48"/>
      <c r="AR6" s="48"/>
      <c r="AS6" s="48"/>
      <c r="AT6" s="48"/>
      <c r="AU6" s="48"/>
      <c r="AV6" s="48"/>
      <c r="AW6" s="52">
        <v>392.42</v>
      </c>
      <c r="AX6" s="52">
        <v>392.42</v>
      </c>
      <c r="AY6" s="52">
        <v>392.42</v>
      </c>
      <c r="AZ6" s="52">
        <v>392.42</v>
      </c>
      <c r="BA6" s="52">
        <v>392.42</v>
      </c>
      <c r="BB6" s="52">
        <v>392.42</v>
      </c>
      <c r="BC6" s="52">
        <v>392.42</v>
      </c>
      <c r="BD6" s="52">
        <v>392.42</v>
      </c>
      <c r="BE6" s="52">
        <v>392.42</v>
      </c>
      <c r="BF6" s="52">
        <v>392.42</v>
      </c>
      <c r="BG6" s="52">
        <v>392.42</v>
      </c>
      <c r="BH6" s="52">
        <v>392.42</v>
      </c>
      <c r="BI6" s="52">
        <v>392.42</v>
      </c>
      <c r="BJ6" s="52">
        <v>392.42</v>
      </c>
      <c r="BK6" s="52">
        <v>392.42</v>
      </c>
      <c r="BL6" s="52">
        <v>392.42</v>
      </c>
      <c r="BM6" s="52">
        <v>392.42</v>
      </c>
      <c r="BN6" s="52">
        <v>392.42</v>
      </c>
      <c r="BO6" s="52">
        <v>392.42</v>
      </c>
      <c r="BP6" s="52">
        <v>392.42</v>
      </c>
      <c r="BQ6" s="52">
        <v>392.42</v>
      </c>
      <c r="BR6" s="52">
        <v>392.42</v>
      </c>
    </row>
    <row r="7" spans="1:70" ht="25.5" x14ac:dyDescent="0.2">
      <c r="A7" s="127"/>
      <c r="B7" s="128"/>
      <c r="C7" s="135"/>
      <c r="D7" s="133"/>
      <c r="E7" s="132"/>
      <c r="F7" s="51" t="s">
        <v>53</v>
      </c>
      <c r="G7" s="78" t="s">
        <v>341</v>
      </c>
      <c r="H7" s="49" t="s">
        <v>347</v>
      </c>
      <c r="I7" s="49" t="s">
        <v>24</v>
      </c>
      <c r="J7" s="49" t="s">
        <v>14</v>
      </c>
      <c r="K7" s="49" t="s">
        <v>13</v>
      </c>
      <c r="L7" s="49" t="s">
        <v>343</v>
      </c>
      <c r="M7" s="77" t="b">
        <v>1</v>
      </c>
      <c r="N7" s="76">
        <v>45205</v>
      </c>
      <c r="O7" s="76">
        <v>45291</v>
      </c>
      <c r="P7" s="77">
        <v>87</v>
      </c>
      <c r="Q7" s="79">
        <v>0</v>
      </c>
      <c r="R7" s="52">
        <v>0</v>
      </c>
      <c r="S7" s="49">
        <f t="shared" si="0"/>
        <v>0</v>
      </c>
      <c r="T7" s="49">
        <f t="shared" si="1"/>
        <v>0</v>
      </c>
      <c r="U7" s="52">
        <v>0</v>
      </c>
      <c r="V7" s="52">
        <v>0</v>
      </c>
      <c r="W7" s="49" t="s">
        <v>25</v>
      </c>
      <c r="X7" s="75" t="s">
        <v>348</v>
      </c>
      <c r="Y7" s="75" t="s">
        <v>344</v>
      </c>
      <c r="Z7" s="75" t="s">
        <v>348</v>
      </c>
      <c r="AA7" s="49">
        <v>0</v>
      </c>
      <c r="AB7" s="49" t="s">
        <v>344</v>
      </c>
      <c r="AC7" s="49" t="s">
        <v>344</v>
      </c>
      <c r="AD7" s="49">
        <v>0</v>
      </c>
      <c r="AE7" s="49" t="s">
        <v>344</v>
      </c>
      <c r="AF7" s="49" t="s">
        <v>344</v>
      </c>
      <c r="AG7" s="49" t="s">
        <v>344</v>
      </c>
      <c r="AH7" s="49"/>
      <c r="AI7" s="49"/>
      <c r="AJ7" s="49"/>
      <c r="AK7" s="49"/>
      <c r="AL7" s="49"/>
      <c r="AM7" s="49"/>
      <c r="AN7" s="49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52">
        <v>0</v>
      </c>
      <c r="AZ7" s="52">
        <v>0</v>
      </c>
      <c r="BA7" s="52">
        <v>0</v>
      </c>
      <c r="BB7" s="52">
        <v>0</v>
      </c>
      <c r="BC7" s="52">
        <v>0</v>
      </c>
      <c r="BD7" s="52">
        <v>0</v>
      </c>
      <c r="BE7" s="52">
        <v>0</v>
      </c>
      <c r="BF7" s="52">
        <v>0</v>
      </c>
      <c r="BG7" s="52">
        <v>0</v>
      </c>
      <c r="BH7" s="52">
        <v>0</v>
      </c>
      <c r="BI7" s="52">
        <v>0</v>
      </c>
      <c r="BJ7" s="52">
        <v>0</v>
      </c>
      <c r="BK7" s="52">
        <v>0</v>
      </c>
      <c r="BL7" s="52">
        <v>0</v>
      </c>
      <c r="BM7" s="52">
        <v>0</v>
      </c>
      <c r="BN7" s="52">
        <v>0</v>
      </c>
      <c r="BO7" s="52">
        <v>0</v>
      </c>
      <c r="BP7" s="52">
        <v>0</v>
      </c>
      <c r="BQ7" s="52">
        <v>0</v>
      </c>
      <c r="BR7" s="52">
        <v>0</v>
      </c>
    </row>
    <row r="8" spans="1:70" ht="25.5" x14ac:dyDescent="0.2">
      <c r="A8" s="127"/>
      <c r="B8" s="128"/>
      <c r="C8" s="135"/>
      <c r="D8" s="133"/>
      <c r="E8" s="132"/>
      <c r="F8" s="51" t="s">
        <v>53</v>
      </c>
      <c r="G8" s="78" t="s">
        <v>341</v>
      </c>
      <c r="H8" s="49" t="s">
        <v>347</v>
      </c>
      <c r="I8" s="49" t="s">
        <v>12</v>
      </c>
      <c r="J8" s="49" t="s">
        <v>14</v>
      </c>
      <c r="K8" s="49" t="s">
        <v>13</v>
      </c>
      <c r="L8" s="49" t="s">
        <v>343</v>
      </c>
      <c r="M8" s="77" t="b">
        <v>1</v>
      </c>
      <c r="N8" s="76">
        <v>45204</v>
      </c>
      <c r="O8" s="76">
        <v>45291</v>
      </c>
      <c r="P8" s="77">
        <v>88</v>
      </c>
      <c r="Q8" s="79">
        <v>0</v>
      </c>
      <c r="R8" s="52">
        <v>0</v>
      </c>
      <c r="S8" s="49">
        <f t="shared" si="0"/>
        <v>0</v>
      </c>
      <c r="T8" s="49">
        <f t="shared" si="1"/>
        <v>0</v>
      </c>
      <c r="U8" s="52">
        <v>0</v>
      </c>
      <c r="V8" s="52">
        <v>0</v>
      </c>
      <c r="W8" s="49" t="s">
        <v>15</v>
      </c>
      <c r="X8" s="75" t="s">
        <v>348</v>
      </c>
      <c r="Y8" s="75" t="s">
        <v>344</v>
      </c>
      <c r="Z8" s="75" t="s">
        <v>344</v>
      </c>
      <c r="AA8" s="49">
        <v>0</v>
      </c>
      <c r="AB8" s="49" t="s">
        <v>344</v>
      </c>
      <c r="AC8" s="49" t="s">
        <v>344</v>
      </c>
      <c r="AD8" s="49" t="s">
        <v>344</v>
      </c>
      <c r="AE8" s="49" t="s">
        <v>344</v>
      </c>
      <c r="AF8" s="49" t="s">
        <v>344</v>
      </c>
      <c r="AG8" s="49" t="s">
        <v>344</v>
      </c>
      <c r="AH8" s="49"/>
      <c r="AI8" s="49"/>
      <c r="AJ8" s="49"/>
      <c r="AK8" s="49"/>
      <c r="AL8" s="49"/>
      <c r="AM8" s="49"/>
      <c r="AN8" s="49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74">
        <v>0</v>
      </c>
      <c r="AZ8" s="74">
        <v>0</v>
      </c>
      <c r="BA8" s="74">
        <v>0</v>
      </c>
      <c r="BB8" s="74">
        <v>0</v>
      </c>
      <c r="BC8" s="74">
        <v>0</v>
      </c>
      <c r="BD8" s="74">
        <v>0</v>
      </c>
      <c r="BE8" s="74">
        <v>0</v>
      </c>
      <c r="BF8" s="52">
        <v>0</v>
      </c>
      <c r="BG8" s="52">
        <v>0</v>
      </c>
      <c r="BH8" s="52">
        <v>0</v>
      </c>
      <c r="BI8" s="52">
        <v>0</v>
      </c>
      <c r="BJ8" s="52">
        <v>0</v>
      </c>
      <c r="BK8" s="52">
        <v>0</v>
      </c>
      <c r="BL8" s="52">
        <v>0</v>
      </c>
      <c r="BM8" s="52">
        <v>0</v>
      </c>
      <c r="BN8" s="52">
        <v>0</v>
      </c>
      <c r="BO8" s="52">
        <v>0</v>
      </c>
      <c r="BP8" s="52">
        <v>0</v>
      </c>
      <c r="BQ8" s="52">
        <v>0</v>
      </c>
      <c r="BR8" s="52">
        <v>0</v>
      </c>
    </row>
    <row r="9" spans="1:70" ht="25.5" x14ac:dyDescent="0.2">
      <c r="A9" s="127"/>
      <c r="B9" s="128"/>
      <c r="C9" s="135"/>
      <c r="D9" s="133"/>
      <c r="E9" s="132"/>
      <c r="F9" s="51" t="s">
        <v>53</v>
      </c>
      <c r="G9" s="78" t="s">
        <v>341</v>
      </c>
      <c r="H9" s="49" t="s">
        <v>347</v>
      </c>
      <c r="I9" s="49" t="s">
        <v>27</v>
      </c>
      <c r="J9" s="49" t="s">
        <v>14</v>
      </c>
      <c r="K9" s="49" t="s">
        <v>13</v>
      </c>
      <c r="L9" s="49" t="s">
        <v>343</v>
      </c>
      <c r="M9" s="77" t="b">
        <v>1</v>
      </c>
      <c r="N9" s="76">
        <v>45203</v>
      </c>
      <c r="O9" s="76">
        <v>45230</v>
      </c>
      <c r="P9" s="77">
        <v>28</v>
      </c>
      <c r="Q9" s="79">
        <v>0.10920000000000001</v>
      </c>
      <c r="R9" s="52">
        <v>31500</v>
      </c>
      <c r="S9" s="49">
        <f t="shared" si="0"/>
        <v>29925</v>
      </c>
      <c r="T9" s="49">
        <f t="shared" si="1"/>
        <v>1575</v>
      </c>
      <c r="U9" s="52">
        <v>0</v>
      </c>
      <c r="V9" s="52">
        <v>1125</v>
      </c>
      <c r="W9" s="49" t="s">
        <v>25</v>
      </c>
      <c r="X9" s="89">
        <v>2.78</v>
      </c>
      <c r="Y9" s="75" t="s">
        <v>344</v>
      </c>
      <c r="Z9" s="89">
        <v>1.43</v>
      </c>
      <c r="AA9" s="88">
        <v>11337278</v>
      </c>
      <c r="AB9" s="49" t="s">
        <v>344</v>
      </c>
      <c r="AC9" s="49" t="s">
        <v>344</v>
      </c>
      <c r="AD9" s="88">
        <v>22044</v>
      </c>
      <c r="AE9" s="49" t="s">
        <v>344</v>
      </c>
      <c r="AF9" s="49" t="s">
        <v>344</v>
      </c>
      <c r="AG9" s="79">
        <v>1.9E-3</v>
      </c>
      <c r="AH9" s="79"/>
      <c r="AI9" s="79"/>
      <c r="AJ9" s="79"/>
      <c r="AK9" s="79"/>
      <c r="AL9" s="79"/>
      <c r="AM9" s="79"/>
      <c r="AN9" s="79"/>
      <c r="AO9" s="48"/>
      <c r="AP9" s="48"/>
      <c r="AQ9" s="48"/>
      <c r="AR9" s="48"/>
      <c r="AS9" s="48"/>
      <c r="AT9" s="48"/>
      <c r="AU9" s="48"/>
      <c r="AV9" s="48"/>
      <c r="AW9" s="52">
        <v>562.5</v>
      </c>
      <c r="AX9" s="52">
        <v>562.5</v>
      </c>
      <c r="AY9" s="52">
        <v>562.5</v>
      </c>
      <c r="AZ9" s="52">
        <v>562.5</v>
      </c>
      <c r="BA9" s="52">
        <v>562.5</v>
      </c>
      <c r="BB9" s="52">
        <v>562.5</v>
      </c>
      <c r="BC9" s="52">
        <v>562.5</v>
      </c>
      <c r="BD9" s="52">
        <v>562.5</v>
      </c>
      <c r="BE9" s="52">
        <v>562.5</v>
      </c>
      <c r="BF9" s="52">
        <v>562.5</v>
      </c>
      <c r="BG9" s="52">
        <v>562.5</v>
      </c>
      <c r="BH9" s="52">
        <v>562.5</v>
      </c>
      <c r="BI9" s="52">
        <v>562.5</v>
      </c>
      <c r="BJ9" s="52">
        <v>562.5</v>
      </c>
      <c r="BK9" s="52">
        <v>562.5</v>
      </c>
      <c r="BL9" s="52">
        <v>562.5</v>
      </c>
      <c r="BM9" s="52">
        <v>562.5</v>
      </c>
      <c r="BN9" s="52">
        <v>562.5</v>
      </c>
      <c r="BO9" s="52">
        <v>562.5</v>
      </c>
      <c r="BP9" s="52">
        <v>562.5</v>
      </c>
      <c r="BQ9" s="52">
        <v>562.5</v>
      </c>
      <c r="BR9" s="52">
        <v>562.5</v>
      </c>
    </row>
    <row r="10" spans="1:70" ht="13.5" x14ac:dyDescent="0.2">
      <c r="A10" s="127"/>
      <c r="B10" s="128"/>
      <c r="C10" s="135"/>
      <c r="D10" s="133"/>
      <c r="E10" s="132"/>
      <c r="F10" s="51" t="s">
        <v>53</v>
      </c>
      <c r="G10" s="78" t="s">
        <v>341</v>
      </c>
      <c r="H10" s="49" t="s">
        <v>347</v>
      </c>
      <c r="I10" s="49" t="s">
        <v>27</v>
      </c>
      <c r="J10" s="49" t="s">
        <v>14</v>
      </c>
      <c r="K10" s="49" t="s">
        <v>28</v>
      </c>
      <c r="L10" s="49" t="s">
        <v>343</v>
      </c>
      <c r="M10" s="77" t="b">
        <v>1</v>
      </c>
      <c r="N10" s="76">
        <v>45231</v>
      </c>
      <c r="O10" s="76">
        <v>45291</v>
      </c>
      <c r="P10" s="77">
        <v>61</v>
      </c>
      <c r="Q10" s="79">
        <v>0.30630000000000002</v>
      </c>
      <c r="R10" s="52">
        <v>88321.15</v>
      </c>
      <c r="S10" s="49">
        <f t="shared" si="0"/>
        <v>83905.092499999999</v>
      </c>
      <c r="T10" s="49">
        <f t="shared" si="1"/>
        <v>4416.0574999999999</v>
      </c>
      <c r="U10" s="52">
        <v>0</v>
      </c>
      <c r="V10" s="52">
        <v>1447.89</v>
      </c>
      <c r="W10" s="49" t="s">
        <v>25</v>
      </c>
      <c r="X10" s="89">
        <v>3.14</v>
      </c>
      <c r="Y10" s="75" t="s">
        <v>344</v>
      </c>
      <c r="Z10" s="89">
        <v>1.19</v>
      </c>
      <c r="AA10" s="88">
        <v>28144598</v>
      </c>
      <c r="AB10" s="49" t="s">
        <v>344</v>
      </c>
      <c r="AC10" s="49" t="s">
        <v>344</v>
      </c>
      <c r="AD10" s="88">
        <v>74511</v>
      </c>
      <c r="AE10" s="49" t="s">
        <v>344</v>
      </c>
      <c r="AF10" s="49" t="s">
        <v>344</v>
      </c>
      <c r="AG10" s="79">
        <v>2.5999999999999999E-3</v>
      </c>
      <c r="AH10" s="79"/>
      <c r="AI10" s="79"/>
      <c r="AJ10" s="79"/>
      <c r="AK10" s="79"/>
      <c r="AL10" s="79"/>
      <c r="AM10" s="79"/>
      <c r="AN10" s="79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</row>
    <row r="11" spans="1:70" x14ac:dyDescent="0.2">
      <c r="A11" s="127"/>
      <c r="B11" s="128"/>
      <c r="C11" s="135"/>
      <c r="D11" s="92" t="s">
        <v>349</v>
      </c>
      <c r="E11" s="91"/>
      <c r="F11" s="91"/>
      <c r="G11" s="92"/>
      <c r="H11" s="91"/>
      <c r="I11" s="92"/>
      <c r="J11" s="91"/>
      <c r="K11" s="91"/>
      <c r="L11" s="91"/>
      <c r="M11" s="95"/>
      <c r="N11" s="91"/>
      <c r="O11" s="91"/>
      <c r="P11" s="91"/>
      <c r="Q11" s="94">
        <v>1</v>
      </c>
      <c r="R11" s="92">
        <f>SUM(R2:R10)</f>
        <v>258663.46</v>
      </c>
      <c r="S11" s="92">
        <f>SUM(S2:S10)</f>
        <v>245730.28700000001</v>
      </c>
      <c r="T11" s="92">
        <f>SUM(T2:T10)</f>
        <v>12933.172999999999</v>
      </c>
      <c r="U11" s="92">
        <f>SUM(U2:U10)</f>
        <v>0</v>
      </c>
      <c r="V11" s="93"/>
      <c r="W11" s="91"/>
      <c r="X11" s="91"/>
      <c r="Y11" s="91"/>
      <c r="Z11" s="91"/>
      <c r="AA11" s="92">
        <f>SUM(AA2:AA10)</f>
        <v>107900102</v>
      </c>
      <c r="AB11" s="92">
        <f>SUM(AB2:AB10)</f>
        <v>1495903</v>
      </c>
      <c r="AC11" s="92">
        <f>SUM(AC2:AC10)</f>
        <v>0</v>
      </c>
      <c r="AD11" s="92">
        <f>SUM(AD2:AD10)</f>
        <v>294440</v>
      </c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2" t="s">
        <v>346</v>
      </c>
      <c r="AP11" s="92" t="s">
        <v>346</v>
      </c>
      <c r="AQ11" s="92" t="s">
        <v>346</v>
      </c>
      <c r="AR11" s="92" t="s">
        <v>346</v>
      </c>
      <c r="AS11" s="92" t="s">
        <v>346</v>
      </c>
      <c r="AT11" s="92" t="s">
        <v>346</v>
      </c>
      <c r="AU11" s="92" t="s">
        <v>346</v>
      </c>
      <c r="AV11" s="92" t="s">
        <v>346</v>
      </c>
      <c r="AW11" s="92" t="s">
        <v>346</v>
      </c>
      <c r="AX11" s="92" t="s">
        <v>346</v>
      </c>
      <c r="AY11" s="92" t="s">
        <v>346</v>
      </c>
      <c r="AZ11" s="92" t="s">
        <v>346</v>
      </c>
      <c r="BA11" s="92" t="s">
        <v>346</v>
      </c>
      <c r="BB11" s="92" t="s">
        <v>346</v>
      </c>
      <c r="BC11" s="92" t="s">
        <v>346</v>
      </c>
      <c r="BD11" s="92" t="s">
        <v>346</v>
      </c>
      <c r="BE11" s="92" t="s">
        <v>346</v>
      </c>
      <c r="BF11" s="92" t="s">
        <v>346</v>
      </c>
      <c r="BG11" s="92" t="s">
        <v>346</v>
      </c>
      <c r="BH11" s="92" t="s">
        <v>346</v>
      </c>
      <c r="BI11" s="92" t="s">
        <v>346</v>
      </c>
      <c r="BJ11" s="92" t="s">
        <v>346</v>
      </c>
      <c r="BK11" s="92" t="s">
        <v>346</v>
      </c>
      <c r="BL11" s="92" t="s">
        <v>346</v>
      </c>
      <c r="BM11" s="92" t="s">
        <v>346</v>
      </c>
      <c r="BN11" s="92" t="s">
        <v>346</v>
      </c>
      <c r="BO11" s="92" t="s">
        <v>346</v>
      </c>
      <c r="BP11" s="92" t="s">
        <v>346</v>
      </c>
      <c r="BQ11" s="92" t="s">
        <v>346</v>
      </c>
      <c r="BR11" s="92" t="s">
        <v>346</v>
      </c>
    </row>
    <row r="12" spans="1:70" ht="13.5" x14ac:dyDescent="0.2">
      <c r="A12" s="127"/>
      <c r="B12" s="128"/>
      <c r="C12" s="135"/>
      <c r="D12" s="129" t="s">
        <v>34</v>
      </c>
      <c r="E12" s="131" t="s">
        <v>340</v>
      </c>
      <c r="F12" s="51" t="s">
        <v>53</v>
      </c>
      <c r="G12" s="90" t="s">
        <v>42</v>
      </c>
      <c r="H12" s="49" t="s">
        <v>342</v>
      </c>
      <c r="I12" s="50" t="s">
        <v>12</v>
      </c>
      <c r="J12" s="50" t="s">
        <v>21</v>
      </c>
      <c r="K12" s="50" t="s">
        <v>45</v>
      </c>
      <c r="L12" s="49" t="s">
        <v>343</v>
      </c>
      <c r="M12" s="57" t="b">
        <v>0</v>
      </c>
      <c r="N12" s="76">
        <v>45924</v>
      </c>
      <c r="O12" s="76">
        <v>45942</v>
      </c>
      <c r="P12" s="77">
        <v>19</v>
      </c>
      <c r="Q12" s="55">
        <f>R12/R22</f>
        <v>7.4786338279084236E-2</v>
      </c>
      <c r="R12" s="47">
        <v>24042.06</v>
      </c>
      <c r="S12" s="49">
        <f t="shared" ref="S12:S21" si="2">R12-T12-U12</f>
        <v>22839.957000000002</v>
      </c>
      <c r="T12" s="49">
        <f t="shared" ref="T12:T21" si="3">R12*0.05</f>
        <v>1202.1030000000001</v>
      </c>
      <c r="U12" s="52">
        <v>0</v>
      </c>
      <c r="V12" s="47">
        <v>1265.3699999999999</v>
      </c>
      <c r="W12" s="50" t="s">
        <v>15</v>
      </c>
      <c r="X12" s="53">
        <v>2.8</v>
      </c>
      <c r="Y12" s="58" t="s">
        <v>344</v>
      </c>
      <c r="Z12" s="58" t="s">
        <v>344</v>
      </c>
      <c r="AA12" s="80">
        <v>8586449</v>
      </c>
      <c r="AB12" s="58" t="s">
        <v>344</v>
      </c>
      <c r="AC12" s="58" t="s">
        <v>344</v>
      </c>
      <c r="AD12" s="58" t="s">
        <v>344</v>
      </c>
      <c r="AE12" s="58" t="s">
        <v>344</v>
      </c>
      <c r="AF12" s="58" t="s">
        <v>344</v>
      </c>
      <c r="AG12" s="58" t="s">
        <v>344</v>
      </c>
      <c r="AH12" s="58"/>
      <c r="AI12" s="58"/>
      <c r="AJ12" s="58"/>
      <c r="AK12" s="58"/>
      <c r="AL12" s="58"/>
      <c r="AM12" s="58"/>
      <c r="AN12" s="58"/>
      <c r="AO12" s="47">
        <v>1265.3699999999999</v>
      </c>
      <c r="AP12" s="47">
        <v>1265.3699999999999</v>
      </c>
      <c r="AQ12" s="47">
        <v>1265.3699999999999</v>
      </c>
      <c r="AR12" s="47">
        <v>1265.3699999999999</v>
      </c>
      <c r="AS12" s="47">
        <v>1265.3699999999999</v>
      </c>
      <c r="AT12" s="47">
        <v>1265.3699999999999</v>
      </c>
      <c r="AU12" s="47">
        <v>1265.3699999999999</v>
      </c>
      <c r="AV12" s="47">
        <v>1265.3699999999999</v>
      </c>
      <c r="AW12" s="47">
        <v>1265.3699999999999</v>
      </c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</row>
    <row r="13" spans="1:70" ht="13.5" x14ac:dyDescent="0.2">
      <c r="A13" s="127"/>
      <c r="B13" s="128"/>
      <c r="C13" s="135"/>
      <c r="D13" s="129"/>
      <c r="E13" s="131"/>
      <c r="F13" s="51" t="s">
        <v>53</v>
      </c>
      <c r="G13" s="90" t="s">
        <v>42</v>
      </c>
      <c r="H13" s="49" t="s">
        <v>342</v>
      </c>
      <c r="I13" s="50" t="s">
        <v>17</v>
      </c>
      <c r="J13" s="50" t="s">
        <v>21</v>
      </c>
      <c r="K13" s="50" t="s">
        <v>47</v>
      </c>
      <c r="L13" s="49" t="s">
        <v>343</v>
      </c>
      <c r="M13" s="57" t="b">
        <v>0</v>
      </c>
      <c r="N13" s="76">
        <v>45924</v>
      </c>
      <c r="O13" s="76">
        <v>45942</v>
      </c>
      <c r="P13" s="77">
        <v>19</v>
      </c>
      <c r="Q13" s="55">
        <f>R13/R22</f>
        <v>4.9857558852722826E-2</v>
      </c>
      <c r="R13" s="47">
        <v>16028.04</v>
      </c>
      <c r="S13" s="49">
        <f t="shared" si="2"/>
        <v>15226.638000000001</v>
      </c>
      <c r="T13" s="49">
        <f t="shared" si="3"/>
        <v>801.40200000000004</v>
      </c>
      <c r="U13" s="52">
        <v>0</v>
      </c>
      <c r="V13" s="47">
        <v>843.58</v>
      </c>
      <c r="W13" s="50" t="s">
        <v>22</v>
      </c>
      <c r="X13" s="53">
        <v>3.6</v>
      </c>
      <c r="Y13" s="53">
        <v>0.01</v>
      </c>
      <c r="Z13" s="58" t="s">
        <v>344</v>
      </c>
      <c r="AA13" s="80">
        <v>4452233</v>
      </c>
      <c r="AB13" s="80">
        <v>2003505</v>
      </c>
      <c r="AC13" s="58" t="s">
        <v>344</v>
      </c>
      <c r="AD13" s="58" t="s">
        <v>344</v>
      </c>
      <c r="AE13" s="105"/>
      <c r="AF13" s="58" t="s">
        <v>344</v>
      </c>
      <c r="AG13" s="58" t="s">
        <v>344</v>
      </c>
      <c r="AH13" s="58"/>
      <c r="AI13" s="58"/>
      <c r="AJ13" s="58"/>
      <c r="AK13" s="58"/>
      <c r="AL13" s="58"/>
      <c r="AM13" s="58"/>
      <c r="AN13" s="58"/>
      <c r="AO13" s="47">
        <v>843.58</v>
      </c>
      <c r="AP13" s="47">
        <v>843.58</v>
      </c>
      <c r="AQ13" s="47">
        <v>843.58</v>
      </c>
      <c r="AR13" s="47">
        <v>843.58</v>
      </c>
      <c r="AS13" s="47">
        <v>843.58</v>
      </c>
      <c r="AT13" s="47">
        <v>843.58</v>
      </c>
      <c r="AU13" s="47">
        <v>843.58</v>
      </c>
      <c r="AV13" s="47">
        <v>843.58</v>
      </c>
      <c r="AW13" s="47">
        <v>843.58</v>
      </c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</row>
    <row r="14" spans="1:70" ht="20.100000000000001" customHeight="1" x14ac:dyDescent="0.2">
      <c r="A14" s="127"/>
      <c r="B14" s="128"/>
      <c r="C14" s="135"/>
      <c r="D14" s="129"/>
      <c r="E14" s="131"/>
      <c r="F14" s="51" t="s">
        <v>53</v>
      </c>
      <c r="G14" s="90" t="s">
        <v>42</v>
      </c>
      <c r="H14" s="49" t="s">
        <v>347</v>
      </c>
      <c r="I14" s="50" t="s">
        <v>17</v>
      </c>
      <c r="J14" s="50" t="s">
        <v>21</v>
      </c>
      <c r="K14" s="50" t="s">
        <v>47</v>
      </c>
      <c r="L14" s="49" t="s">
        <v>343</v>
      </c>
      <c r="M14" s="57" t="b">
        <v>0</v>
      </c>
      <c r="N14" s="56">
        <v>45204</v>
      </c>
      <c r="O14" s="56">
        <v>45291</v>
      </c>
      <c r="P14" s="57">
        <v>88</v>
      </c>
      <c r="Q14" s="55">
        <f>R14/R22</f>
        <v>0</v>
      </c>
      <c r="R14" s="47">
        <v>0</v>
      </c>
      <c r="S14" s="49">
        <f t="shared" si="2"/>
        <v>0</v>
      </c>
      <c r="T14" s="49">
        <f t="shared" si="3"/>
        <v>0</v>
      </c>
      <c r="U14" s="52">
        <v>0</v>
      </c>
      <c r="V14" s="47">
        <v>0</v>
      </c>
      <c r="W14" s="50" t="s">
        <v>22</v>
      </c>
      <c r="X14" s="50" t="s">
        <v>348</v>
      </c>
      <c r="Y14" s="47">
        <v>0.01</v>
      </c>
      <c r="Z14" s="58" t="s">
        <v>344</v>
      </c>
      <c r="AA14" s="50">
        <v>0</v>
      </c>
      <c r="AB14" s="50">
        <v>0</v>
      </c>
      <c r="AC14" s="58" t="s">
        <v>344</v>
      </c>
      <c r="AD14" s="58" t="s">
        <v>344</v>
      </c>
      <c r="AE14" s="55">
        <v>0.4</v>
      </c>
      <c r="AF14" s="58" t="s">
        <v>344</v>
      </c>
      <c r="AG14" s="58" t="s">
        <v>344</v>
      </c>
      <c r="AH14" s="58"/>
      <c r="AI14" s="58"/>
      <c r="AJ14" s="58"/>
      <c r="AK14" s="58"/>
      <c r="AL14" s="58"/>
      <c r="AM14" s="58"/>
      <c r="AN14" s="58"/>
      <c r="AO14" s="48"/>
      <c r="AP14" s="48"/>
      <c r="AQ14" s="48"/>
      <c r="AR14" s="48"/>
      <c r="AS14" s="48"/>
      <c r="AT14" s="48"/>
      <c r="AU14" s="48"/>
      <c r="AV14" s="48"/>
      <c r="AW14" s="101"/>
      <c r="AX14" s="74">
        <v>0</v>
      </c>
      <c r="AY14" s="74">
        <v>0</v>
      </c>
      <c r="AZ14" s="74">
        <v>0</v>
      </c>
      <c r="BA14" s="74">
        <v>0</v>
      </c>
      <c r="BB14" s="74">
        <v>0</v>
      </c>
      <c r="BC14" s="74">
        <v>0</v>
      </c>
      <c r="BD14" s="74">
        <v>0</v>
      </c>
      <c r="BE14" s="74">
        <v>0</v>
      </c>
      <c r="BF14" s="100">
        <v>0</v>
      </c>
      <c r="BG14" s="100">
        <v>0</v>
      </c>
      <c r="BH14" s="47">
        <v>0</v>
      </c>
      <c r="BI14" s="47">
        <v>0</v>
      </c>
      <c r="BJ14" s="47">
        <v>0</v>
      </c>
      <c r="BK14" s="47">
        <v>0</v>
      </c>
      <c r="BL14" s="47">
        <v>0</v>
      </c>
      <c r="BM14" s="47">
        <v>0</v>
      </c>
      <c r="BN14" s="47">
        <v>0</v>
      </c>
      <c r="BO14" s="47">
        <v>0</v>
      </c>
      <c r="BP14" s="47">
        <v>0</v>
      </c>
      <c r="BQ14" s="47">
        <v>0</v>
      </c>
      <c r="BR14" s="47">
        <v>0</v>
      </c>
    </row>
    <row r="15" spans="1:70" ht="13.5" x14ac:dyDescent="0.2">
      <c r="A15" s="127"/>
      <c r="B15" s="128"/>
      <c r="C15" s="135"/>
      <c r="D15" s="129"/>
      <c r="E15" s="131"/>
      <c r="F15" s="51" t="s">
        <v>53</v>
      </c>
      <c r="G15" s="90" t="s">
        <v>35</v>
      </c>
      <c r="H15" s="49" t="s">
        <v>342</v>
      </c>
      <c r="I15" s="50" t="s">
        <v>24</v>
      </c>
      <c r="J15" s="50" t="s">
        <v>26</v>
      </c>
      <c r="K15" s="50" t="s">
        <v>350</v>
      </c>
      <c r="L15" s="49" t="s">
        <v>343</v>
      </c>
      <c r="M15" s="57" t="b">
        <v>0</v>
      </c>
      <c r="N15" s="76">
        <v>45924</v>
      </c>
      <c r="O15" s="76">
        <v>45942</v>
      </c>
      <c r="P15" s="77">
        <v>19</v>
      </c>
      <c r="Q15" s="55">
        <f>R15/R22</f>
        <v>9.9715086598985439E-2</v>
      </c>
      <c r="R15" s="47">
        <v>32056.07</v>
      </c>
      <c r="S15" s="49">
        <f t="shared" si="2"/>
        <v>30453.266499999998</v>
      </c>
      <c r="T15" s="49">
        <f t="shared" si="3"/>
        <v>1602.8035</v>
      </c>
      <c r="U15" s="52">
        <v>0</v>
      </c>
      <c r="V15" s="47">
        <v>1687.16</v>
      </c>
      <c r="W15" s="58" t="s">
        <v>25</v>
      </c>
      <c r="X15" s="53">
        <v>0.2</v>
      </c>
      <c r="Y15" s="58" t="s">
        <v>344</v>
      </c>
      <c r="Z15" s="58" t="s">
        <v>344</v>
      </c>
      <c r="AA15" s="80">
        <v>160280374</v>
      </c>
      <c r="AB15" s="58" t="s">
        <v>344</v>
      </c>
      <c r="AC15" s="58" t="s">
        <v>344</v>
      </c>
      <c r="AD15" s="58" t="s">
        <v>344</v>
      </c>
      <c r="AE15" s="58" t="s">
        <v>344</v>
      </c>
      <c r="AF15" s="58" t="s">
        <v>344</v>
      </c>
      <c r="AG15" s="58" t="s">
        <v>344</v>
      </c>
      <c r="AH15" s="58"/>
      <c r="AI15" s="58"/>
      <c r="AJ15" s="58"/>
      <c r="AK15" s="58"/>
      <c r="AL15" s="58"/>
      <c r="AM15" s="58"/>
      <c r="AN15" s="58"/>
      <c r="AO15" s="47">
        <v>1687.16</v>
      </c>
      <c r="AP15" s="47">
        <v>1687.16</v>
      </c>
      <c r="AQ15" s="47">
        <v>1687.16</v>
      </c>
      <c r="AR15" s="47">
        <v>1687.16</v>
      </c>
      <c r="AS15" s="47">
        <v>1687.16</v>
      </c>
      <c r="AT15" s="47">
        <v>1687.16</v>
      </c>
      <c r="AU15" s="47">
        <v>1687.16</v>
      </c>
      <c r="AV15" s="47">
        <v>1687.16</v>
      </c>
      <c r="AW15" s="47">
        <v>1687.16</v>
      </c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</row>
    <row r="16" spans="1:70" ht="13.5" x14ac:dyDescent="0.2">
      <c r="A16" s="127"/>
      <c r="B16" s="128"/>
      <c r="C16" s="135"/>
      <c r="D16" s="129"/>
      <c r="E16" s="131"/>
      <c r="F16" s="51" t="s">
        <v>53</v>
      </c>
      <c r="G16" s="90" t="s">
        <v>35</v>
      </c>
      <c r="H16" s="49" t="s">
        <v>342</v>
      </c>
      <c r="I16" s="50" t="s">
        <v>27</v>
      </c>
      <c r="J16" s="58" t="s">
        <v>14</v>
      </c>
      <c r="K16" s="50" t="s">
        <v>351</v>
      </c>
      <c r="L16" s="49" t="s">
        <v>343</v>
      </c>
      <c r="M16" s="57" t="b">
        <v>0</v>
      </c>
      <c r="N16" s="76">
        <v>45924</v>
      </c>
      <c r="O16" s="76">
        <v>45942</v>
      </c>
      <c r="P16" s="77">
        <v>19</v>
      </c>
      <c r="Q16" s="108">
        <f>R16/R22</f>
        <v>0.14957264545170826</v>
      </c>
      <c r="R16" s="47">
        <v>48084.11</v>
      </c>
      <c r="S16" s="49">
        <f t="shared" si="2"/>
        <v>45679.904500000004</v>
      </c>
      <c r="T16" s="49">
        <f t="shared" si="3"/>
        <v>2404.2055</v>
      </c>
      <c r="U16" s="52">
        <v>0</v>
      </c>
      <c r="V16" s="47">
        <v>2530.7399999999998</v>
      </c>
      <c r="W16" s="50" t="s">
        <v>29</v>
      </c>
      <c r="X16" s="105"/>
      <c r="Y16" s="105"/>
      <c r="Z16" s="105"/>
      <c r="AA16" s="48"/>
      <c r="AB16" s="105"/>
      <c r="AC16" s="105"/>
      <c r="AD16" s="48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</row>
    <row r="17" spans="1:70" ht="13.5" x14ac:dyDescent="0.2">
      <c r="A17" s="127"/>
      <c r="B17" s="128"/>
      <c r="C17" s="135"/>
      <c r="D17" s="129"/>
      <c r="E17" s="131"/>
      <c r="F17" s="51" t="s">
        <v>53</v>
      </c>
      <c r="G17" s="90" t="s">
        <v>35</v>
      </c>
      <c r="H17" s="49" t="s">
        <v>342</v>
      </c>
      <c r="I17" s="50" t="s">
        <v>27</v>
      </c>
      <c r="J17" s="50" t="s">
        <v>30</v>
      </c>
      <c r="K17" s="50" t="s">
        <v>38</v>
      </c>
      <c r="L17" s="49" t="s">
        <v>343</v>
      </c>
      <c r="M17" s="57" t="b">
        <v>0</v>
      </c>
      <c r="N17" s="76">
        <v>45924</v>
      </c>
      <c r="O17" s="76">
        <v>45942</v>
      </c>
      <c r="P17" s="77">
        <v>19</v>
      </c>
      <c r="Q17" s="55">
        <f>R17/R22</f>
        <v>0.12464386602534684</v>
      </c>
      <c r="R17" s="47">
        <v>40070.089999999997</v>
      </c>
      <c r="S17" s="49">
        <f t="shared" si="2"/>
        <v>38066.585499999994</v>
      </c>
      <c r="T17" s="49">
        <f t="shared" si="3"/>
        <v>2003.5045</v>
      </c>
      <c r="U17" s="52">
        <v>0</v>
      </c>
      <c r="V17" s="47">
        <v>2108.9499999999998</v>
      </c>
      <c r="W17" s="50" t="s">
        <v>29</v>
      </c>
      <c r="X17" s="53">
        <v>42</v>
      </c>
      <c r="Y17" s="58" t="s">
        <v>344</v>
      </c>
      <c r="Z17" s="53">
        <v>0.7</v>
      </c>
      <c r="AA17" s="80">
        <v>954050</v>
      </c>
      <c r="AB17" s="58" t="s">
        <v>344</v>
      </c>
      <c r="AC17" s="58" t="s">
        <v>344</v>
      </c>
      <c r="AD17" s="80">
        <v>57243</v>
      </c>
      <c r="AE17" s="58" t="s">
        <v>344</v>
      </c>
      <c r="AF17" s="58" t="s">
        <v>344</v>
      </c>
      <c r="AG17" s="111">
        <v>0.06</v>
      </c>
      <c r="AH17" s="111"/>
      <c r="AI17" s="111"/>
      <c r="AJ17" s="111"/>
      <c r="AK17" s="111"/>
      <c r="AL17" s="111"/>
      <c r="AM17" s="111"/>
      <c r="AN17" s="111"/>
      <c r="AO17" s="47">
        <v>2108.9499999999998</v>
      </c>
      <c r="AP17" s="47">
        <v>2108.9499999999998</v>
      </c>
      <c r="AQ17" s="47">
        <v>2108.9499999999998</v>
      </c>
      <c r="AR17" s="47">
        <v>2108.9499999999998</v>
      </c>
      <c r="AS17" s="47">
        <v>2108.9499999999998</v>
      </c>
      <c r="AT17" s="47">
        <v>2108.9499999999998</v>
      </c>
      <c r="AU17" s="47">
        <v>2108.9499999999998</v>
      </c>
      <c r="AV17" s="47">
        <v>2108.9499999999998</v>
      </c>
      <c r="AW17" s="100">
        <v>2108.9499999999998</v>
      </c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</row>
    <row r="18" spans="1:70" ht="13.5" x14ac:dyDescent="0.2">
      <c r="A18" s="127"/>
      <c r="B18" s="128"/>
      <c r="C18" s="135"/>
      <c r="D18" s="129"/>
      <c r="E18" s="131"/>
      <c r="F18" s="51" t="s">
        <v>53</v>
      </c>
      <c r="G18" s="90" t="s">
        <v>35</v>
      </c>
      <c r="H18" s="49" t="s">
        <v>342</v>
      </c>
      <c r="I18" s="50" t="s">
        <v>27</v>
      </c>
      <c r="J18" s="50" t="s">
        <v>30</v>
      </c>
      <c r="K18" s="50" t="s">
        <v>38</v>
      </c>
      <c r="L18" s="49" t="s">
        <v>343</v>
      </c>
      <c r="M18" s="57" t="b">
        <v>0</v>
      </c>
      <c r="N18" s="56">
        <v>45195</v>
      </c>
      <c r="O18" s="56">
        <v>45202</v>
      </c>
      <c r="P18" s="57">
        <v>8</v>
      </c>
      <c r="Q18" s="55">
        <f>R18/R22</f>
        <v>5.9523798044044438E-2</v>
      </c>
      <c r="R18" s="47">
        <v>19135.509999999998</v>
      </c>
      <c r="S18" s="49">
        <f t="shared" si="2"/>
        <v>18178.734499999999</v>
      </c>
      <c r="T18" s="49">
        <f t="shared" si="3"/>
        <v>956.77549999999997</v>
      </c>
      <c r="U18" s="52">
        <v>0</v>
      </c>
      <c r="V18" s="47">
        <v>2391.94</v>
      </c>
      <c r="W18" s="50" t="s">
        <v>25</v>
      </c>
      <c r="X18" s="47">
        <v>45</v>
      </c>
      <c r="Y18" s="50" t="s">
        <v>344</v>
      </c>
      <c r="Z18" s="47">
        <v>0.9</v>
      </c>
      <c r="AA18" s="80">
        <v>425234</v>
      </c>
      <c r="AB18" s="50" t="s">
        <v>344</v>
      </c>
      <c r="AC18" s="58" t="s">
        <v>344</v>
      </c>
      <c r="AD18" s="80">
        <v>21262</v>
      </c>
      <c r="AE18" s="50" t="s">
        <v>344</v>
      </c>
      <c r="AF18" s="50" t="s">
        <v>344</v>
      </c>
      <c r="AG18" s="109">
        <v>0.05</v>
      </c>
      <c r="AH18" s="109"/>
      <c r="AI18" s="109"/>
      <c r="AJ18" s="109"/>
      <c r="AK18" s="109"/>
      <c r="AL18" s="109"/>
      <c r="AM18" s="109"/>
      <c r="AN18" s="109"/>
      <c r="AO18" s="47">
        <v>2391.94</v>
      </c>
      <c r="AP18" s="47">
        <v>2391.94</v>
      </c>
      <c r="AQ18" s="47">
        <v>2391.94</v>
      </c>
      <c r="AR18" s="47">
        <v>2391.94</v>
      </c>
      <c r="AS18" s="47">
        <v>2391.94</v>
      </c>
      <c r="AT18" s="47">
        <v>2391.94</v>
      </c>
      <c r="AU18" s="47">
        <v>2391.94</v>
      </c>
      <c r="AV18" s="47">
        <v>2391.94</v>
      </c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</row>
    <row r="19" spans="1:70" ht="13.5" x14ac:dyDescent="0.2">
      <c r="A19" s="127"/>
      <c r="B19" s="128"/>
      <c r="C19" s="135"/>
      <c r="D19" s="129"/>
      <c r="E19" s="131"/>
      <c r="F19" s="51" t="s">
        <v>53</v>
      </c>
      <c r="G19" s="90" t="s">
        <v>35</v>
      </c>
      <c r="H19" s="49" t="s">
        <v>342</v>
      </c>
      <c r="I19" s="50" t="s">
        <v>27</v>
      </c>
      <c r="J19" s="50" t="s">
        <v>26</v>
      </c>
      <c r="K19" s="50" t="s">
        <v>352</v>
      </c>
      <c r="L19" s="49" t="s">
        <v>343</v>
      </c>
      <c r="M19" s="57" t="b">
        <v>0</v>
      </c>
      <c r="N19" s="56">
        <v>45195</v>
      </c>
      <c r="O19" s="56">
        <v>45202</v>
      </c>
      <c r="P19" s="57">
        <v>8</v>
      </c>
      <c r="Q19" s="55">
        <f>R19/R22</f>
        <v>4.5787558492198947E-2</v>
      </c>
      <c r="R19" s="47">
        <v>14719.63</v>
      </c>
      <c r="S19" s="49">
        <f t="shared" si="2"/>
        <v>13983.648499999999</v>
      </c>
      <c r="T19" s="49">
        <f t="shared" si="3"/>
        <v>735.98149999999998</v>
      </c>
      <c r="U19" s="52">
        <v>0</v>
      </c>
      <c r="V19" s="47">
        <v>1839.95</v>
      </c>
      <c r="W19" s="50" t="s">
        <v>25</v>
      </c>
      <c r="X19" s="47">
        <v>1.8</v>
      </c>
      <c r="Y19" s="50" t="s">
        <v>344</v>
      </c>
      <c r="Z19" s="47">
        <v>0.2</v>
      </c>
      <c r="AA19" s="80">
        <v>8177570</v>
      </c>
      <c r="AB19" s="50" t="s">
        <v>344</v>
      </c>
      <c r="AC19" s="58" t="s">
        <v>344</v>
      </c>
      <c r="AD19" s="80">
        <v>73598</v>
      </c>
      <c r="AE19" s="50" t="s">
        <v>344</v>
      </c>
      <c r="AF19" s="58" t="s">
        <v>344</v>
      </c>
      <c r="AG19" s="109">
        <v>0.01</v>
      </c>
      <c r="AH19" s="109"/>
      <c r="AI19" s="109"/>
      <c r="AJ19" s="109"/>
      <c r="AK19" s="109"/>
      <c r="AL19" s="109"/>
      <c r="AM19" s="109"/>
      <c r="AN19" s="109"/>
      <c r="AO19" s="47">
        <v>1839.95</v>
      </c>
      <c r="AP19" s="47">
        <v>1839.95</v>
      </c>
      <c r="AQ19" s="47">
        <v>1839.95</v>
      </c>
      <c r="AR19" s="47">
        <v>1839.95</v>
      </c>
      <c r="AS19" s="47">
        <v>1839.95</v>
      </c>
      <c r="AT19" s="47">
        <v>1839.95</v>
      </c>
      <c r="AU19" s="47">
        <v>1839.95</v>
      </c>
      <c r="AV19" s="47">
        <v>1839.95</v>
      </c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</row>
    <row r="20" spans="1:70" ht="13.5" x14ac:dyDescent="0.2">
      <c r="A20" s="127"/>
      <c r="B20" s="128"/>
      <c r="C20" s="135"/>
      <c r="D20" s="129"/>
      <c r="E20" s="131"/>
      <c r="F20" s="51" t="s">
        <v>53</v>
      </c>
      <c r="G20" s="90" t="s">
        <v>35</v>
      </c>
      <c r="H20" s="49" t="s">
        <v>347</v>
      </c>
      <c r="I20" s="50" t="s">
        <v>27</v>
      </c>
      <c r="J20" s="50" t="s">
        <v>30</v>
      </c>
      <c r="K20" s="50" t="s">
        <v>38</v>
      </c>
      <c r="L20" s="49" t="s">
        <v>343</v>
      </c>
      <c r="M20" s="57" t="b">
        <v>0</v>
      </c>
      <c r="N20" s="56">
        <v>45203</v>
      </c>
      <c r="O20" s="56">
        <v>45291</v>
      </c>
      <c r="P20" s="57">
        <v>89</v>
      </c>
      <c r="Q20" s="55">
        <f>R20/R22</f>
        <v>0.24725274742366185</v>
      </c>
      <c r="R20" s="47">
        <v>79485.98</v>
      </c>
      <c r="S20" s="49">
        <f t="shared" si="2"/>
        <v>75511.680999999997</v>
      </c>
      <c r="T20" s="49">
        <f t="shared" si="3"/>
        <v>3974.299</v>
      </c>
      <c r="U20" s="52">
        <v>0</v>
      </c>
      <c r="V20" s="47">
        <v>893.1</v>
      </c>
      <c r="W20" s="50" t="s">
        <v>25</v>
      </c>
      <c r="X20" s="47">
        <v>37.5</v>
      </c>
      <c r="Y20" s="50" t="s">
        <v>344</v>
      </c>
      <c r="Z20" s="47">
        <v>0.75</v>
      </c>
      <c r="AA20" s="80">
        <v>2119626</v>
      </c>
      <c r="AB20" s="50" t="s">
        <v>344</v>
      </c>
      <c r="AC20" s="58" t="s">
        <v>344</v>
      </c>
      <c r="AD20" s="80">
        <v>105981</v>
      </c>
      <c r="AE20" s="50" t="s">
        <v>344</v>
      </c>
      <c r="AF20" s="50" t="s">
        <v>344</v>
      </c>
      <c r="AG20" s="109">
        <v>0.05</v>
      </c>
      <c r="AH20" s="109"/>
      <c r="AI20" s="109"/>
      <c r="AJ20" s="109"/>
      <c r="AK20" s="109"/>
      <c r="AL20" s="109"/>
      <c r="AM20" s="109"/>
      <c r="AN20" s="109"/>
      <c r="AO20" s="48"/>
      <c r="AP20" s="48"/>
      <c r="AQ20" s="48"/>
      <c r="AR20" s="48"/>
      <c r="AS20" s="48"/>
      <c r="AT20" s="48"/>
      <c r="AU20" s="48"/>
      <c r="AV20" s="48"/>
      <c r="AW20" s="47">
        <v>1117.77</v>
      </c>
      <c r="AX20" s="47">
        <v>1117.77</v>
      </c>
      <c r="AY20" s="47">
        <v>1117.77</v>
      </c>
      <c r="AZ20" s="47">
        <v>1117.77</v>
      </c>
      <c r="BA20" s="47">
        <v>1117.77</v>
      </c>
      <c r="BB20" s="47">
        <v>1117.77</v>
      </c>
      <c r="BC20" s="47">
        <v>1117.77</v>
      </c>
      <c r="BD20" s="47">
        <v>1117.77</v>
      </c>
      <c r="BE20" s="47">
        <v>1117.77</v>
      </c>
      <c r="BF20" s="47">
        <v>1117.77</v>
      </c>
      <c r="BG20" s="47">
        <v>1117.77</v>
      </c>
      <c r="BH20" s="47">
        <v>1117.77</v>
      </c>
      <c r="BI20" s="47">
        <v>1117.77</v>
      </c>
      <c r="BJ20" s="47">
        <v>1117.77</v>
      </c>
      <c r="BK20" s="47">
        <v>1117.77</v>
      </c>
      <c r="BL20" s="47">
        <v>1117.77</v>
      </c>
      <c r="BM20" s="47">
        <v>1117.77</v>
      </c>
      <c r="BN20" s="47">
        <v>1117.77</v>
      </c>
      <c r="BO20" s="47">
        <v>1117.77</v>
      </c>
      <c r="BP20" s="47">
        <v>1117.77</v>
      </c>
      <c r="BQ20" s="47">
        <v>1117.77</v>
      </c>
      <c r="BR20" s="47">
        <v>1117.77</v>
      </c>
    </row>
    <row r="21" spans="1:70" ht="25.5" x14ac:dyDescent="0.2">
      <c r="A21" s="127"/>
      <c r="B21" s="128"/>
      <c r="C21" s="135"/>
      <c r="D21" s="129"/>
      <c r="E21" s="131"/>
      <c r="F21" s="51" t="s">
        <v>53</v>
      </c>
      <c r="G21" s="90" t="s">
        <v>35</v>
      </c>
      <c r="H21" s="49" t="s">
        <v>347</v>
      </c>
      <c r="I21" s="50" t="s">
        <v>27</v>
      </c>
      <c r="J21" s="50" t="s">
        <v>353</v>
      </c>
      <c r="K21" s="50" t="s">
        <v>354</v>
      </c>
      <c r="L21" s="49" t="s">
        <v>343</v>
      </c>
      <c r="M21" s="57" t="b">
        <v>0</v>
      </c>
      <c r="N21" s="56">
        <v>45203</v>
      </c>
      <c r="O21" s="56">
        <v>45291</v>
      </c>
      <c r="P21" s="57">
        <v>89</v>
      </c>
      <c r="Q21" s="55">
        <f>R21/$R22</f>
        <v>0.14886040083224711</v>
      </c>
      <c r="R21" s="47">
        <v>47855.14</v>
      </c>
      <c r="S21" s="49">
        <f t="shared" si="2"/>
        <v>45462.383000000002</v>
      </c>
      <c r="T21" s="49">
        <f t="shared" si="3"/>
        <v>2392.7570000000001</v>
      </c>
      <c r="U21" s="52">
        <v>0</v>
      </c>
      <c r="V21" s="47">
        <v>537.70000000000005</v>
      </c>
      <c r="W21" s="50" t="s">
        <v>25</v>
      </c>
      <c r="X21" s="53">
        <v>2.8</v>
      </c>
      <c r="Y21" s="58" t="s">
        <v>344</v>
      </c>
      <c r="Z21" s="53">
        <v>0.5</v>
      </c>
      <c r="AA21" s="80">
        <v>17091121</v>
      </c>
      <c r="AB21" s="58" t="s">
        <v>344</v>
      </c>
      <c r="AC21" s="58" t="s">
        <v>344</v>
      </c>
      <c r="AD21" s="80">
        <v>95710</v>
      </c>
      <c r="AE21" s="58" t="s">
        <v>344</v>
      </c>
      <c r="AF21" s="58" t="s">
        <v>344</v>
      </c>
      <c r="AG21" s="111">
        <v>0.03</v>
      </c>
      <c r="AH21" s="111"/>
      <c r="AI21" s="111"/>
      <c r="AJ21" s="111"/>
      <c r="AK21" s="111"/>
      <c r="AL21" s="111"/>
      <c r="AM21" s="111"/>
      <c r="AN21" s="111"/>
      <c r="AO21" s="48"/>
      <c r="AP21" s="48"/>
      <c r="AQ21" s="48"/>
      <c r="AR21" s="48"/>
      <c r="AS21" s="48"/>
      <c r="AT21" s="48"/>
      <c r="AU21" s="48"/>
      <c r="AV21" s="48"/>
      <c r="AW21" s="47">
        <v>555</v>
      </c>
      <c r="AX21" s="47">
        <v>555</v>
      </c>
      <c r="AY21" s="47">
        <v>555</v>
      </c>
      <c r="AZ21" s="47">
        <v>555</v>
      </c>
      <c r="BA21" s="47">
        <v>555</v>
      </c>
      <c r="BB21" s="47">
        <v>555</v>
      </c>
      <c r="BC21" s="47">
        <v>555</v>
      </c>
      <c r="BD21" s="47">
        <v>555</v>
      </c>
      <c r="BE21" s="47">
        <v>555</v>
      </c>
      <c r="BF21" s="47">
        <v>555</v>
      </c>
      <c r="BG21" s="47">
        <v>555</v>
      </c>
      <c r="BH21" s="47">
        <v>555</v>
      </c>
      <c r="BI21" s="47">
        <v>555</v>
      </c>
      <c r="BJ21" s="47">
        <v>555</v>
      </c>
      <c r="BK21" s="47">
        <v>555</v>
      </c>
      <c r="BL21" s="47">
        <v>555</v>
      </c>
      <c r="BM21" s="47">
        <v>555</v>
      </c>
      <c r="BN21" s="47">
        <v>555</v>
      </c>
      <c r="BO21" s="47">
        <v>555</v>
      </c>
      <c r="BP21" s="47">
        <v>555</v>
      </c>
      <c r="BQ21" s="47">
        <v>555</v>
      </c>
      <c r="BR21" s="47">
        <v>555</v>
      </c>
    </row>
    <row r="22" spans="1:70" x14ac:dyDescent="0.2">
      <c r="A22" s="127"/>
      <c r="B22" s="128"/>
      <c r="C22" s="135"/>
      <c r="D22" s="92" t="s">
        <v>355</v>
      </c>
      <c r="E22" s="91"/>
      <c r="F22" s="91"/>
      <c r="G22" s="92"/>
      <c r="H22" s="91"/>
      <c r="I22" s="92"/>
      <c r="J22" s="91"/>
      <c r="K22" s="91"/>
      <c r="L22" s="91"/>
      <c r="M22" s="91"/>
      <c r="N22" s="91"/>
      <c r="O22" s="91"/>
      <c r="P22" s="91"/>
      <c r="Q22" s="94">
        <v>1</v>
      </c>
      <c r="R22" s="92">
        <f>SUM(R12:R21)</f>
        <v>321476.63</v>
      </c>
      <c r="S22" s="92">
        <f>SUM(S12:S21)</f>
        <v>305402.79850000003</v>
      </c>
      <c r="T22" s="92">
        <f>SUM(T12:T21)</f>
        <v>16073.831499999998</v>
      </c>
      <c r="U22" s="92">
        <f>SUM(U12:U21)</f>
        <v>0</v>
      </c>
      <c r="V22" s="92"/>
      <c r="W22" s="91"/>
      <c r="X22" s="91"/>
      <c r="Y22" s="91"/>
      <c r="Z22" s="91"/>
      <c r="AA22" s="92">
        <f>SUM(AA12:AA21)</f>
        <v>202086657</v>
      </c>
      <c r="AB22" s="92">
        <f>SUM(AB12:AB21)</f>
        <v>2003505</v>
      </c>
      <c r="AC22" s="92">
        <f>SUM(AC12:AC21)</f>
        <v>0</v>
      </c>
      <c r="AD22" s="92">
        <f>SUM(AD12:AD21)</f>
        <v>353794</v>
      </c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102">
        <v>10136.959999999999</v>
      </c>
      <c r="AP22" s="102">
        <v>10136.959999999999</v>
      </c>
      <c r="AQ22" s="102">
        <v>10136.959999999999</v>
      </c>
      <c r="AR22" s="102">
        <v>10136.959999999999</v>
      </c>
      <c r="AS22" s="102">
        <v>10136.959999999999</v>
      </c>
      <c r="AT22" s="102">
        <v>10136.959999999999</v>
      </c>
      <c r="AU22" s="102">
        <v>10136.959999999999</v>
      </c>
      <c r="AV22" s="102">
        <v>10136.959999999999</v>
      </c>
      <c r="AW22" s="102">
        <v>7577.84</v>
      </c>
      <c r="AX22" s="102">
        <v>1672.77</v>
      </c>
      <c r="AY22" s="118" t="s">
        <v>346</v>
      </c>
      <c r="AZ22" s="118" t="s">
        <v>346</v>
      </c>
      <c r="BA22" s="118" t="s">
        <v>346</v>
      </c>
      <c r="BB22" s="118" t="s">
        <v>346</v>
      </c>
      <c r="BC22" s="118" t="s">
        <v>346</v>
      </c>
      <c r="BD22" s="118" t="s">
        <v>346</v>
      </c>
      <c r="BE22" s="118" t="s">
        <v>346</v>
      </c>
      <c r="BF22" s="118" t="s">
        <v>346</v>
      </c>
      <c r="BG22" s="118" t="s">
        <v>346</v>
      </c>
      <c r="BH22" s="118" t="s">
        <v>346</v>
      </c>
      <c r="BI22" s="118" t="s">
        <v>346</v>
      </c>
      <c r="BJ22" s="118" t="s">
        <v>346</v>
      </c>
      <c r="BK22" s="118" t="s">
        <v>346</v>
      </c>
      <c r="BL22" s="118" t="s">
        <v>346</v>
      </c>
      <c r="BM22" s="118" t="s">
        <v>346</v>
      </c>
      <c r="BN22" s="118" t="s">
        <v>346</v>
      </c>
      <c r="BO22" s="118" t="s">
        <v>346</v>
      </c>
      <c r="BP22" s="118" t="s">
        <v>346</v>
      </c>
      <c r="BQ22" s="118" t="s">
        <v>346</v>
      </c>
      <c r="BR22" s="118" t="s">
        <v>346</v>
      </c>
    </row>
    <row r="23" spans="1:70" ht="25.5" x14ac:dyDescent="0.2">
      <c r="A23" s="127"/>
      <c r="B23" s="128"/>
      <c r="C23" s="135"/>
      <c r="D23" s="130" t="s">
        <v>262</v>
      </c>
      <c r="E23" s="131" t="s">
        <v>340</v>
      </c>
      <c r="F23" s="51" t="s">
        <v>53</v>
      </c>
      <c r="G23" s="54" t="s">
        <v>262</v>
      </c>
      <c r="H23" s="49" t="s">
        <v>342</v>
      </c>
      <c r="I23" s="50" t="s">
        <v>356</v>
      </c>
      <c r="J23" s="50" t="s">
        <v>14</v>
      </c>
      <c r="K23" s="50" t="s">
        <v>13</v>
      </c>
      <c r="L23" s="49" t="s">
        <v>343</v>
      </c>
      <c r="M23" s="57" t="b">
        <v>1</v>
      </c>
      <c r="N23" s="56">
        <v>45195</v>
      </c>
      <c r="O23" s="56">
        <v>45202</v>
      </c>
      <c r="P23" s="57">
        <v>8</v>
      </c>
      <c r="Q23" s="55">
        <v>0.16</v>
      </c>
      <c r="R23" s="47">
        <v>15076.92</v>
      </c>
      <c r="S23" s="49">
        <f t="shared" ref="S23:S28" si="4">R23-T23-U23</f>
        <v>14323.074000000001</v>
      </c>
      <c r="T23" s="49">
        <f t="shared" ref="T23:T28" si="5">R23*0.05</f>
        <v>753.846</v>
      </c>
      <c r="U23" s="52">
        <v>0</v>
      </c>
      <c r="V23" s="47">
        <v>1884.62</v>
      </c>
      <c r="W23" s="50" t="s">
        <v>15</v>
      </c>
      <c r="X23" s="53">
        <v>1.62</v>
      </c>
      <c r="Y23" s="58" t="s">
        <v>344</v>
      </c>
      <c r="Z23" s="58" t="s">
        <v>344</v>
      </c>
      <c r="AA23" s="80">
        <v>9306743</v>
      </c>
      <c r="AB23" s="50" t="s">
        <v>344</v>
      </c>
      <c r="AC23" s="50" t="s">
        <v>344</v>
      </c>
      <c r="AD23" s="50" t="s">
        <v>344</v>
      </c>
      <c r="AE23" s="50" t="s">
        <v>344</v>
      </c>
      <c r="AF23" s="50" t="s">
        <v>344</v>
      </c>
      <c r="AG23" s="50" t="s">
        <v>344</v>
      </c>
      <c r="AH23" s="50"/>
      <c r="AI23" s="50"/>
      <c r="AJ23" s="50"/>
      <c r="AK23" s="50"/>
      <c r="AL23" s="50"/>
      <c r="AM23" s="50"/>
      <c r="AN23" s="50"/>
      <c r="AO23" s="47">
        <v>1884.62</v>
      </c>
      <c r="AP23" s="47">
        <v>1884.62</v>
      </c>
      <c r="AQ23" s="47">
        <v>1884.62</v>
      </c>
      <c r="AR23" s="47">
        <v>1884.62</v>
      </c>
      <c r="AS23" s="47">
        <v>1884.62</v>
      </c>
      <c r="AT23" s="47">
        <v>1884.62</v>
      </c>
      <c r="AU23" s="47">
        <v>1884.62</v>
      </c>
      <c r="AV23" s="47">
        <v>1884.62</v>
      </c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</row>
    <row r="24" spans="1:70" ht="13.5" x14ac:dyDescent="0.2">
      <c r="A24" s="127"/>
      <c r="B24" s="128"/>
      <c r="C24" s="135"/>
      <c r="D24" s="130"/>
      <c r="E24" s="131"/>
      <c r="F24" s="51" t="s">
        <v>53</v>
      </c>
      <c r="G24" s="54" t="s">
        <v>262</v>
      </c>
      <c r="H24" s="49" t="s">
        <v>342</v>
      </c>
      <c r="I24" s="50" t="s">
        <v>345</v>
      </c>
      <c r="J24" s="50" t="s">
        <v>21</v>
      </c>
      <c r="K24" s="50" t="s">
        <v>20</v>
      </c>
      <c r="L24" s="49" t="s">
        <v>343</v>
      </c>
      <c r="M24" s="57" t="b">
        <v>1</v>
      </c>
      <c r="N24" s="56">
        <v>45195</v>
      </c>
      <c r="O24" s="56">
        <v>45204</v>
      </c>
      <c r="P24" s="57">
        <v>10</v>
      </c>
      <c r="Q24" s="55">
        <v>0</v>
      </c>
      <c r="R24" s="47">
        <v>0</v>
      </c>
      <c r="S24" s="49">
        <f t="shared" si="4"/>
        <v>0</v>
      </c>
      <c r="T24" s="49">
        <f t="shared" si="5"/>
        <v>0</v>
      </c>
      <c r="U24" s="52">
        <v>0</v>
      </c>
      <c r="V24" s="47">
        <v>0</v>
      </c>
      <c r="W24" s="50" t="s">
        <v>22</v>
      </c>
      <c r="X24" s="53">
        <v>4.18</v>
      </c>
      <c r="Y24" s="53">
        <v>0.01</v>
      </c>
      <c r="Z24" s="58" t="s">
        <v>344</v>
      </c>
      <c r="AA24" s="50">
        <v>0</v>
      </c>
      <c r="AB24" s="50">
        <v>0</v>
      </c>
      <c r="AC24" s="50" t="s">
        <v>344</v>
      </c>
      <c r="AD24" s="50" t="s">
        <v>344</v>
      </c>
      <c r="AE24" s="50" t="s">
        <v>344</v>
      </c>
      <c r="AF24" s="50" t="s">
        <v>344</v>
      </c>
      <c r="AG24" s="50" t="s">
        <v>344</v>
      </c>
      <c r="AH24" s="50"/>
      <c r="AI24" s="50"/>
      <c r="AJ24" s="50"/>
      <c r="AK24" s="50"/>
      <c r="AL24" s="50"/>
      <c r="AM24" s="50"/>
      <c r="AN24" s="50"/>
      <c r="AO24" s="47">
        <v>0</v>
      </c>
      <c r="AP24" s="47">
        <v>0</v>
      </c>
      <c r="AQ24" s="47">
        <v>0</v>
      </c>
      <c r="AR24" s="47">
        <v>0</v>
      </c>
      <c r="AS24" s="47">
        <v>0</v>
      </c>
      <c r="AT24" s="47">
        <v>0</v>
      </c>
      <c r="AU24" s="47">
        <v>0</v>
      </c>
      <c r="AV24" s="47">
        <v>0</v>
      </c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</row>
    <row r="25" spans="1:70" ht="25.5" x14ac:dyDescent="0.2">
      <c r="A25" s="127"/>
      <c r="B25" s="128"/>
      <c r="C25" s="135"/>
      <c r="D25" s="130"/>
      <c r="E25" s="131"/>
      <c r="F25" s="51" t="s">
        <v>53</v>
      </c>
      <c r="G25" s="54" t="s">
        <v>262</v>
      </c>
      <c r="H25" s="49" t="s">
        <v>342</v>
      </c>
      <c r="I25" s="50" t="s">
        <v>24</v>
      </c>
      <c r="J25" s="50" t="s">
        <v>14</v>
      </c>
      <c r="K25" s="50" t="s">
        <v>13</v>
      </c>
      <c r="L25" s="49" t="s">
        <v>343</v>
      </c>
      <c r="M25" s="57" t="b">
        <v>1</v>
      </c>
      <c r="N25" s="56">
        <v>45195</v>
      </c>
      <c r="O25" s="56">
        <v>45202</v>
      </c>
      <c r="P25" s="57">
        <v>8</v>
      </c>
      <c r="Q25" s="55">
        <v>0.18</v>
      </c>
      <c r="R25" s="47">
        <v>16961.54</v>
      </c>
      <c r="S25" s="49">
        <f t="shared" si="4"/>
        <v>16113.463000000002</v>
      </c>
      <c r="T25" s="49">
        <f t="shared" si="5"/>
        <v>848.07700000000011</v>
      </c>
      <c r="U25" s="52">
        <v>0</v>
      </c>
      <c r="V25" s="47">
        <v>2120.19</v>
      </c>
      <c r="W25" s="50" t="s">
        <v>25</v>
      </c>
      <c r="X25" s="53">
        <v>1.32</v>
      </c>
      <c r="Y25" s="58" t="s">
        <v>344</v>
      </c>
      <c r="Z25" s="53">
        <v>0.64</v>
      </c>
      <c r="AA25" s="80">
        <v>12849650</v>
      </c>
      <c r="AB25" s="50" t="s">
        <v>344</v>
      </c>
      <c r="AC25" s="50" t="s">
        <v>344</v>
      </c>
      <c r="AD25" s="80">
        <v>26502</v>
      </c>
      <c r="AE25" s="50" t="s">
        <v>344</v>
      </c>
      <c r="AF25" s="50" t="s">
        <v>344</v>
      </c>
      <c r="AG25" s="55">
        <v>2.0999999999999999E-3</v>
      </c>
      <c r="AH25" s="55"/>
      <c r="AI25" s="55"/>
      <c r="AJ25" s="55"/>
      <c r="AK25" s="55"/>
      <c r="AL25" s="55"/>
      <c r="AM25" s="55"/>
      <c r="AN25" s="55"/>
      <c r="AO25" s="47">
        <v>2120.19</v>
      </c>
      <c r="AP25" s="47">
        <v>2120.19</v>
      </c>
      <c r="AQ25" s="47">
        <v>2120.19</v>
      </c>
      <c r="AR25" s="47">
        <v>2120.19</v>
      </c>
      <c r="AS25" s="47">
        <v>2120.19</v>
      </c>
      <c r="AT25" s="47">
        <v>2120.19</v>
      </c>
      <c r="AU25" s="47">
        <v>2120.19</v>
      </c>
      <c r="AV25" s="47">
        <v>2120.19</v>
      </c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</row>
    <row r="26" spans="1:70" ht="25.5" x14ac:dyDescent="0.2">
      <c r="A26" s="127"/>
      <c r="B26" s="128"/>
      <c r="C26" s="135"/>
      <c r="D26" s="130"/>
      <c r="E26" s="131"/>
      <c r="F26" s="51" t="s">
        <v>53</v>
      </c>
      <c r="G26" s="54" t="s">
        <v>262</v>
      </c>
      <c r="H26" s="49" t="s">
        <v>347</v>
      </c>
      <c r="I26" s="50" t="s">
        <v>50</v>
      </c>
      <c r="J26" s="50" t="s">
        <v>14</v>
      </c>
      <c r="K26" s="50" t="s">
        <v>13</v>
      </c>
      <c r="L26" s="49" t="s">
        <v>343</v>
      </c>
      <c r="M26" s="57" t="b">
        <v>1</v>
      </c>
      <c r="N26" s="56">
        <v>45203</v>
      </c>
      <c r="O26" s="56">
        <v>45291</v>
      </c>
      <c r="P26" s="57">
        <v>89</v>
      </c>
      <c r="Q26" s="55">
        <v>0.24</v>
      </c>
      <c r="R26" s="47">
        <v>22615.38</v>
      </c>
      <c r="S26" s="49">
        <f t="shared" si="4"/>
        <v>21484.611000000001</v>
      </c>
      <c r="T26" s="49">
        <f t="shared" si="5"/>
        <v>1130.769</v>
      </c>
      <c r="U26" s="52">
        <v>0</v>
      </c>
      <c r="V26" s="47">
        <v>254.11</v>
      </c>
      <c r="W26" s="50" t="s">
        <v>15</v>
      </c>
      <c r="X26" s="53">
        <v>1.62</v>
      </c>
      <c r="Y26" s="58" t="s">
        <v>344</v>
      </c>
      <c r="Z26" s="58" t="s">
        <v>344</v>
      </c>
      <c r="AA26" s="80">
        <v>13960114</v>
      </c>
      <c r="AB26" s="50" t="s">
        <v>344</v>
      </c>
      <c r="AC26" s="50" t="s">
        <v>344</v>
      </c>
      <c r="AD26" s="50" t="s">
        <v>344</v>
      </c>
      <c r="AE26" s="50" t="s">
        <v>344</v>
      </c>
      <c r="AF26" s="50" t="s">
        <v>344</v>
      </c>
      <c r="AG26" s="50" t="s">
        <v>344</v>
      </c>
      <c r="AH26" s="50"/>
      <c r="AI26" s="50"/>
      <c r="AJ26" s="50"/>
      <c r="AK26" s="50"/>
      <c r="AL26" s="50"/>
      <c r="AM26" s="50"/>
      <c r="AN26" s="50"/>
      <c r="AO26" s="48"/>
      <c r="AP26" s="48"/>
      <c r="AQ26" s="48"/>
      <c r="AR26" s="48"/>
      <c r="AS26" s="48"/>
      <c r="AT26" s="48"/>
      <c r="AU26" s="48"/>
      <c r="AV26" s="48"/>
      <c r="AW26" s="47">
        <v>282.69</v>
      </c>
      <c r="AX26" s="47">
        <v>282.69</v>
      </c>
      <c r="AY26" s="47">
        <v>282.69</v>
      </c>
      <c r="AZ26" s="47">
        <v>282.69</v>
      </c>
      <c r="BA26" s="47">
        <v>282.69</v>
      </c>
      <c r="BB26" s="47">
        <v>282.69</v>
      </c>
      <c r="BC26" s="47">
        <v>282.69</v>
      </c>
      <c r="BD26" s="47">
        <v>282.69</v>
      </c>
      <c r="BE26" s="47">
        <v>282.69</v>
      </c>
      <c r="BF26" s="47">
        <v>282.69</v>
      </c>
      <c r="BG26" s="47">
        <v>282.69</v>
      </c>
      <c r="BH26" s="47">
        <v>282.69</v>
      </c>
      <c r="BI26" s="47">
        <v>282.69</v>
      </c>
      <c r="BJ26" s="47">
        <v>282.69</v>
      </c>
      <c r="BK26" s="47">
        <v>282.69</v>
      </c>
      <c r="BL26" s="47">
        <v>282.69</v>
      </c>
      <c r="BM26" s="47">
        <v>282.69</v>
      </c>
      <c r="BN26" s="47">
        <v>282.69</v>
      </c>
      <c r="BO26" s="47">
        <v>282.69</v>
      </c>
      <c r="BP26" s="47">
        <v>282.69</v>
      </c>
      <c r="BQ26" s="47">
        <v>282.69</v>
      </c>
      <c r="BR26" s="47">
        <v>282.69</v>
      </c>
    </row>
    <row r="27" spans="1:70" ht="13.5" x14ac:dyDescent="0.2">
      <c r="A27" s="127"/>
      <c r="B27" s="128"/>
      <c r="C27" s="135"/>
      <c r="D27" s="130"/>
      <c r="E27" s="131"/>
      <c r="F27" s="51" t="s">
        <v>53</v>
      </c>
      <c r="G27" s="54" t="s">
        <v>262</v>
      </c>
      <c r="H27" s="49" t="s">
        <v>347</v>
      </c>
      <c r="I27" s="50" t="s">
        <v>345</v>
      </c>
      <c r="J27" s="50" t="s">
        <v>21</v>
      </c>
      <c r="K27" s="50" t="s">
        <v>20</v>
      </c>
      <c r="L27" s="49" t="s">
        <v>343</v>
      </c>
      <c r="M27" s="57" t="b">
        <v>1</v>
      </c>
      <c r="N27" s="56">
        <v>45205</v>
      </c>
      <c r="O27" s="56">
        <v>45291</v>
      </c>
      <c r="P27" s="57">
        <v>87</v>
      </c>
      <c r="Q27" s="55">
        <v>0</v>
      </c>
      <c r="R27" s="47">
        <v>0</v>
      </c>
      <c r="S27" s="49">
        <f t="shared" si="4"/>
        <v>0</v>
      </c>
      <c r="T27" s="49">
        <f t="shared" si="5"/>
        <v>0</v>
      </c>
      <c r="U27" s="52">
        <v>0</v>
      </c>
      <c r="V27" s="47">
        <v>0</v>
      </c>
      <c r="W27" s="50" t="s">
        <v>22</v>
      </c>
      <c r="X27" s="53">
        <v>4.18</v>
      </c>
      <c r="Y27" s="53">
        <v>0.01</v>
      </c>
      <c r="Z27" s="58" t="s">
        <v>344</v>
      </c>
      <c r="AA27" s="50">
        <v>0</v>
      </c>
      <c r="AB27" s="50">
        <v>0</v>
      </c>
      <c r="AC27" s="50" t="s">
        <v>344</v>
      </c>
      <c r="AD27" s="50" t="s">
        <v>344</v>
      </c>
      <c r="AE27" s="50" t="s">
        <v>344</v>
      </c>
      <c r="AF27" s="50" t="s">
        <v>344</v>
      </c>
      <c r="AG27" s="50" t="s">
        <v>344</v>
      </c>
      <c r="AH27" s="50"/>
      <c r="AI27" s="50"/>
      <c r="AJ27" s="50"/>
      <c r="AK27" s="50"/>
      <c r="AL27" s="50"/>
      <c r="AM27" s="50"/>
      <c r="AN27" s="50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7">
        <v>0</v>
      </c>
      <c r="AZ27" s="47">
        <v>0</v>
      </c>
      <c r="BA27" s="47">
        <v>0</v>
      </c>
      <c r="BB27" s="47">
        <v>0</v>
      </c>
      <c r="BC27" s="47">
        <v>0</v>
      </c>
      <c r="BD27" s="47">
        <v>0</v>
      </c>
      <c r="BE27" s="47">
        <v>0</v>
      </c>
      <c r="BF27" s="47">
        <v>0</v>
      </c>
      <c r="BG27" s="47">
        <v>0</v>
      </c>
      <c r="BH27" s="47">
        <v>0</v>
      </c>
      <c r="BI27" s="47">
        <v>0</v>
      </c>
      <c r="BJ27" s="47">
        <v>0</v>
      </c>
      <c r="BK27" s="47">
        <v>0</v>
      </c>
      <c r="BL27" s="47">
        <v>0</v>
      </c>
      <c r="BM27" s="47">
        <v>0</v>
      </c>
      <c r="BN27" s="47">
        <v>0</v>
      </c>
      <c r="BO27" s="47">
        <v>0</v>
      </c>
      <c r="BP27" s="47">
        <v>0</v>
      </c>
      <c r="BQ27" s="47">
        <v>0</v>
      </c>
      <c r="BR27" s="47">
        <v>0</v>
      </c>
    </row>
    <row r="28" spans="1:70" ht="25.5" x14ac:dyDescent="0.2">
      <c r="A28" s="127"/>
      <c r="B28" s="128"/>
      <c r="C28" s="135"/>
      <c r="D28" s="130"/>
      <c r="E28" s="131"/>
      <c r="F28" s="51" t="s">
        <v>53</v>
      </c>
      <c r="G28" s="54" t="s">
        <v>262</v>
      </c>
      <c r="H28" s="49" t="s">
        <v>347</v>
      </c>
      <c r="I28" s="50" t="s">
        <v>24</v>
      </c>
      <c r="J28" s="50" t="s">
        <v>14</v>
      </c>
      <c r="K28" s="50" t="s">
        <v>13</v>
      </c>
      <c r="L28" s="49" t="s">
        <v>343</v>
      </c>
      <c r="M28" s="57" t="b">
        <v>1</v>
      </c>
      <c r="N28" s="56">
        <v>45203</v>
      </c>
      <c r="O28" s="56">
        <v>45291</v>
      </c>
      <c r="P28" s="57">
        <v>89</v>
      </c>
      <c r="Q28" s="55">
        <v>0.42</v>
      </c>
      <c r="R28" s="47">
        <v>39576.92</v>
      </c>
      <c r="S28" s="49">
        <f t="shared" si="4"/>
        <v>37598.074000000001</v>
      </c>
      <c r="T28" s="49">
        <f t="shared" si="5"/>
        <v>1978.846</v>
      </c>
      <c r="U28" s="52">
        <v>0</v>
      </c>
      <c r="V28" s="47">
        <v>444.68</v>
      </c>
      <c r="W28" s="50" t="s">
        <v>25</v>
      </c>
      <c r="X28" s="53">
        <v>1.32</v>
      </c>
      <c r="Y28" s="58" t="s">
        <v>344</v>
      </c>
      <c r="Z28" s="53">
        <v>0.64</v>
      </c>
      <c r="AA28" s="80">
        <v>29982517</v>
      </c>
      <c r="AB28" s="50" t="s">
        <v>344</v>
      </c>
      <c r="AC28" s="50" t="s">
        <v>344</v>
      </c>
      <c r="AD28" s="80">
        <v>61839</v>
      </c>
      <c r="AE28" s="50" t="s">
        <v>344</v>
      </c>
      <c r="AF28" s="50" t="s">
        <v>344</v>
      </c>
      <c r="AG28" s="55">
        <v>2.0999999999999999E-3</v>
      </c>
      <c r="AH28" s="55"/>
      <c r="AI28" s="55"/>
      <c r="AJ28" s="55"/>
      <c r="AK28" s="55"/>
      <c r="AL28" s="55"/>
      <c r="AM28" s="55"/>
      <c r="AN28" s="55"/>
      <c r="AO28" s="48"/>
      <c r="AP28" s="48"/>
      <c r="AQ28" s="48"/>
      <c r="AR28" s="48"/>
      <c r="AS28" s="48"/>
      <c r="AT28" s="48"/>
      <c r="AU28" s="48"/>
      <c r="AV28" s="48"/>
      <c r="AW28" s="47">
        <v>494.71</v>
      </c>
      <c r="AX28" s="47">
        <v>494.71</v>
      </c>
      <c r="AY28" s="47">
        <v>494.71</v>
      </c>
      <c r="AZ28" s="47">
        <v>494.71</v>
      </c>
      <c r="BA28" s="47">
        <v>494.71</v>
      </c>
      <c r="BB28" s="47">
        <v>494.71</v>
      </c>
      <c r="BC28" s="47">
        <v>494.71</v>
      </c>
      <c r="BD28" s="47">
        <v>494.71</v>
      </c>
      <c r="BE28" s="47">
        <v>494.71</v>
      </c>
      <c r="BF28" s="47">
        <v>494.71</v>
      </c>
      <c r="BG28" s="47">
        <v>494.71</v>
      </c>
      <c r="BH28" s="47">
        <v>494.71</v>
      </c>
      <c r="BI28" s="47">
        <v>494.71</v>
      </c>
      <c r="BJ28" s="47">
        <v>494.71</v>
      </c>
      <c r="BK28" s="47">
        <v>494.71</v>
      </c>
      <c r="BL28" s="47">
        <v>494.71</v>
      </c>
      <c r="BM28" s="47">
        <v>494.71</v>
      </c>
      <c r="BN28" s="47">
        <v>494.71</v>
      </c>
      <c r="BO28" s="47">
        <v>494.71</v>
      </c>
      <c r="BP28" s="47">
        <v>494.71</v>
      </c>
      <c r="BQ28" s="47">
        <v>494.71</v>
      </c>
      <c r="BR28" s="47">
        <v>494.71</v>
      </c>
    </row>
    <row r="29" spans="1:70" x14ac:dyDescent="0.2">
      <c r="A29" s="127"/>
      <c r="B29" s="128"/>
      <c r="C29" s="135"/>
      <c r="D29" s="92" t="s">
        <v>357</v>
      </c>
      <c r="E29" s="91"/>
      <c r="F29" s="91"/>
      <c r="G29" s="92"/>
      <c r="H29" s="91"/>
      <c r="I29" s="91"/>
      <c r="J29" s="91"/>
      <c r="K29" s="91"/>
      <c r="L29" s="91"/>
      <c r="M29" s="91"/>
      <c r="N29" s="91"/>
      <c r="O29" s="91"/>
      <c r="P29" s="91"/>
      <c r="Q29" s="94">
        <v>1</v>
      </c>
      <c r="R29" s="92">
        <f>SUM(R23:R28)</f>
        <v>94230.76</v>
      </c>
      <c r="S29" s="92">
        <f>SUM(S23:S28)</f>
        <v>89519.222000000009</v>
      </c>
      <c r="T29" s="92">
        <f>SUM(T23:T28)</f>
        <v>4711.5380000000005</v>
      </c>
      <c r="U29" s="92">
        <f>SUM(U23:U28)</f>
        <v>0</v>
      </c>
      <c r="V29" s="93"/>
      <c r="W29" s="91"/>
      <c r="X29" s="91"/>
      <c r="Y29" s="91"/>
      <c r="Z29" s="91"/>
      <c r="AA29" s="103">
        <v>66099024</v>
      </c>
      <c r="AB29" s="103">
        <v>66099024</v>
      </c>
      <c r="AC29" s="103">
        <v>66099024</v>
      </c>
      <c r="AD29" s="103">
        <v>66099024</v>
      </c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102">
        <v>4004.81</v>
      </c>
      <c r="AP29" s="102">
        <v>4004.81</v>
      </c>
      <c r="AQ29" s="102">
        <v>4004.81</v>
      </c>
      <c r="AR29" s="102">
        <v>4004.81</v>
      </c>
      <c r="AS29" s="102">
        <v>4004.81</v>
      </c>
      <c r="AT29" s="102">
        <v>4004.81</v>
      </c>
      <c r="AU29" s="102">
        <v>4004.81</v>
      </c>
      <c r="AV29" s="102">
        <v>4004.81</v>
      </c>
      <c r="AW29" s="102">
        <v>777.4</v>
      </c>
      <c r="AX29" s="102">
        <v>777.4</v>
      </c>
      <c r="AY29" s="102">
        <v>777.4</v>
      </c>
      <c r="AZ29" s="102">
        <v>777.4</v>
      </c>
      <c r="BA29" s="102">
        <v>777.4</v>
      </c>
      <c r="BB29" s="102">
        <v>777.4</v>
      </c>
      <c r="BC29" s="102">
        <v>777.4</v>
      </c>
      <c r="BD29" s="102">
        <v>777.4</v>
      </c>
      <c r="BE29" s="102">
        <v>777.4</v>
      </c>
      <c r="BF29" s="102">
        <v>777.4</v>
      </c>
      <c r="BG29" s="102">
        <v>777.4</v>
      </c>
      <c r="BH29" s="102">
        <v>777.4</v>
      </c>
      <c r="BI29" s="102">
        <v>777.4</v>
      </c>
      <c r="BJ29" s="102">
        <v>777.4</v>
      </c>
      <c r="BK29" s="102">
        <v>777.4</v>
      </c>
      <c r="BL29" s="102">
        <v>777.4</v>
      </c>
      <c r="BM29" s="102">
        <v>777.4</v>
      </c>
      <c r="BN29" s="102">
        <v>777.4</v>
      </c>
      <c r="BO29" s="102">
        <v>777.4</v>
      </c>
      <c r="BP29" s="102">
        <v>777.4</v>
      </c>
      <c r="BQ29" s="102">
        <v>777.4</v>
      </c>
      <c r="BR29" s="102">
        <v>777.4</v>
      </c>
    </row>
    <row r="30" spans="1:70" x14ac:dyDescent="0.2">
      <c r="A30" s="127"/>
      <c r="B30" s="128"/>
      <c r="C30" s="135"/>
      <c r="D30" s="97" t="s">
        <v>358</v>
      </c>
      <c r="E30" s="96"/>
      <c r="F30" s="96"/>
      <c r="G30" s="97"/>
      <c r="H30" s="96"/>
      <c r="I30" s="97"/>
      <c r="J30" s="96"/>
      <c r="K30" s="96"/>
      <c r="L30" s="96"/>
      <c r="M30" s="96"/>
      <c r="N30" s="96"/>
      <c r="O30" s="96"/>
      <c r="P30" s="96"/>
      <c r="Q30" s="96"/>
      <c r="R30" s="97">
        <f>R11+R22+R29</f>
        <v>674370.85</v>
      </c>
      <c r="S30" s="97">
        <f>S11+S22+S29</f>
        <v>640652.30750000011</v>
      </c>
      <c r="T30" s="97">
        <f>T11+T22+T29</f>
        <v>33718.542499999996</v>
      </c>
      <c r="U30" s="97">
        <f>U11+U22+U29</f>
        <v>0</v>
      </c>
      <c r="V30" s="96"/>
      <c r="W30" s="96"/>
      <c r="X30" s="97"/>
      <c r="Y30" s="96"/>
      <c r="Z30" s="98"/>
      <c r="AA30" s="97">
        <f>AA11+AA22+AA29</f>
        <v>376085783</v>
      </c>
      <c r="AB30" s="97">
        <f>AB11+AB22+AB29</f>
        <v>69598432</v>
      </c>
      <c r="AC30" s="97">
        <f>AC11+AC22+AC29</f>
        <v>66099024</v>
      </c>
      <c r="AD30" s="97">
        <f>AD11+AD22+AD29</f>
        <v>66747258</v>
      </c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7" t="s">
        <v>346</v>
      </c>
      <c r="AP30" s="97" t="s">
        <v>346</v>
      </c>
      <c r="AQ30" s="97" t="s">
        <v>346</v>
      </c>
      <c r="AR30" s="97" t="s">
        <v>346</v>
      </c>
      <c r="AS30" s="97" t="s">
        <v>346</v>
      </c>
      <c r="AT30" s="97" t="s">
        <v>346</v>
      </c>
      <c r="AU30" s="97" t="s">
        <v>346</v>
      </c>
      <c r="AV30" s="97" t="s">
        <v>346</v>
      </c>
      <c r="AW30" s="97" t="s">
        <v>346</v>
      </c>
      <c r="AX30" s="97" t="s">
        <v>346</v>
      </c>
      <c r="AY30" s="97" t="s">
        <v>346</v>
      </c>
      <c r="AZ30" s="97" t="s">
        <v>346</v>
      </c>
      <c r="BA30" s="97" t="s">
        <v>346</v>
      </c>
      <c r="BB30" s="97" t="s">
        <v>346</v>
      </c>
      <c r="BC30" s="97" t="s">
        <v>346</v>
      </c>
      <c r="BD30" s="97" t="s">
        <v>346</v>
      </c>
      <c r="BE30" s="97" t="s">
        <v>346</v>
      </c>
      <c r="BF30" s="97" t="s">
        <v>346</v>
      </c>
      <c r="BG30" s="97" t="s">
        <v>346</v>
      </c>
      <c r="BH30" s="97" t="s">
        <v>346</v>
      </c>
      <c r="BI30" s="97" t="s">
        <v>346</v>
      </c>
      <c r="BJ30" s="97" t="s">
        <v>346</v>
      </c>
      <c r="BK30" s="97" t="s">
        <v>346</v>
      </c>
      <c r="BL30" s="97" t="s">
        <v>346</v>
      </c>
      <c r="BM30" s="97" t="s">
        <v>346</v>
      </c>
      <c r="BN30" s="97" t="s">
        <v>346</v>
      </c>
      <c r="BO30" s="97" t="s">
        <v>346</v>
      </c>
      <c r="BP30" s="97" t="s">
        <v>346</v>
      </c>
      <c r="BQ30" s="97" t="s">
        <v>346</v>
      </c>
      <c r="BR30" s="97" t="s">
        <v>346</v>
      </c>
    </row>
    <row r="31" spans="1:70" ht="25.5" x14ac:dyDescent="0.2">
      <c r="A31" s="136" t="s">
        <v>59</v>
      </c>
      <c r="B31" s="137" t="s">
        <v>73</v>
      </c>
      <c r="C31" s="134" t="s">
        <v>339</v>
      </c>
      <c r="D31" s="138" t="s">
        <v>259</v>
      </c>
      <c r="E31" s="134" t="s">
        <v>340</v>
      </c>
      <c r="F31" s="64" t="s">
        <v>53</v>
      </c>
      <c r="G31" s="65" t="s">
        <v>341</v>
      </c>
      <c r="H31" s="65" t="s">
        <v>342</v>
      </c>
      <c r="I31" s="65" t="s">
        <v>12</v>
      </c>
      <c r="J31" s="65" t="s">
        <v>14</v>
      </c>
      <c r="K31" s="65" t="s">
        <v>13</v>
      </c>
      <c r="L31" s="65" t="s">
        <v>343</v>
      </c>
      <c r="M31" s="61" t="b">
        <v>1</v>
      </c>
      <c r="N31" s="85">
        <v>45924</v>
      </c>
      <c r="O31" s="85">
        <v>45942</v>
      </c>
      <c r="P31" s="61">
        <v>19</v>
      </c>
      <c r="Q31" s="81">
        <v>0.1235</v>
      </c>
      <c r="R31" s="68">
        <v>35619.230000000003</v>
      </c>
      <c r="S31" s="65">
        <f t="shared" ref="S31:S39" si="6">R31-T31-U31</f>
        <v>33838.268500000006</v>
      </c>
      <c r="T31" s="65">
        <f t="shared" ref="T31:T39" si="7">R31*0.05</f>
        <v>1780.9615000000003</v>
      </c>
      <c r="U31" s="68">
        <v>0</v>
      </c>
      <c r="V31" s="68">
        <v>1874.7</v>
      </c>
      <c r="W31" s="65" t="s">
        <v>15</v>
      </c>
      <c r="X31" s="82">
        <v>1</v>
      </c>
      <c r="Y31" s="83" t="s">
        <v>344</v>
      </c>
      <c r="Z31" s="83" t="s">
        <v>344</v>
      </c>
      <c r="AA31" s="84">
        <v>35619231</v>
      </c>
      <c r="AB31" s="65" t="s">
        <v>344</v>
      </c>
      <c r="AC31" s="65" t="s">
        <v>344</v>
      </c>
      <c r="AD31" s="65" t="s">
        <v>344</v>
      </c>
      <c r="AE31" s="65" t="s">
        <v>344</v>
      </c>
      <c r="AF31" s="65" t="s">
        <v>344</v>
      </c>
      <c r="AG31" s="65" t="s">
        <v>344</v>
      </c>
      <c r="AH31" s="65"/>
      <c r="AI31" s="65"/>
      <c r="AJ31" s="65"/>
      <c r="AK31" s="65"/>
      <c r="AL31" s="65"/>
      <c r="AM31" s="65"/>
      <c r="AN31" s="65"/>
      <c r="AO31" s="68">
        <v>1874.7</v>
      </c>
      <c r="AP31" s="68">
        <v>1874.7</v>
      </c>
      <c r="AQ31" s="68">
        <v>1874.7</v>
      </c>
      <c r="AR31" s="65" t="s">
        <v>344</v>
      </c>
      <c r="AS31" s="65" t="s">
        <v>344</v>
      </c>
      <c r="AT31" s="65" t="s">
        <v>344</v>
      </c>
      <c r="AU31" s="65" t="s">
        <v>344</v>
      </c>
      <c r="AV31" s="65" t="s">
        <v>344</v>
      </c>
      <c r="AW31" s="65" t="s">
        <v>344</v>
      </c>
      <c r="AX31" s="65" t="s">
        <v>344</v>
      </c>
      <c r="AY31" s="65" t="s">
        <v>344</v>
      </c>
      <c r="AZ31" s="65" t="s">
        <v>344</v>
      </c>
      <c r="BA31" s="68">
        <v>1874.7</v>
      </c>
      <c r="BB31" s="68">
        <v>1874.7</v>
      </c>
      <c r="BC31" s="68">
        <v>1874.7</v>
      </c>
      <c r="BD31" s="65" t="s">
        <v>344</v>
      </c>
      <c r="BE31" s="65" t="s">
        <v>344</v>
      </c>
      <c r="BF31" s="65" t="s">
        <v>344</v>
      </c>
      <c r="BG31" s="65" t="s">
        <v>344</v>
      </c>
      <c r="BH31" s="65" t="s">
        <v>344</v>
      </c>
      <c r="BI31" s="106"/>
      <c r="BJ31" s="106"/>
      <c r="BK31" s="106"/>
      <c r="BL31" s="106"/>
      <c r="BM31" s="106"/>
      <c r="BN31" s="106"/>
      <c r="BO31" s="106"/>
      <c r="BP31" s="106"/>
      <c r="BQ31" s="106"/>
      <c r="BR31" s="106"/>
    </row>
    <row r="32" spans="1:70" ht="13.5" x14ac:dyDescent="0.2">
      <c r="A32" s="136"/>
      <c r="B32" s="137"/>
      <c r="C32" s="134"/>
      <c r="D32" s="138"/>
      <c r="E32" s="134"/>
      <c r="F32" s="64" t="s">
        <v>53</v>
      </c>
      <c r="G32" s="65" t="s">
        <v>341</v>
      </c>
      <c r="H32" s="65" t="s">
        <v>342</v>
      </c>
      <c r="I32" s="65" t="s">
        <v>345</v>
      </c>
      <c r="J32" s="65" t="s">
        <v>21</v>
      </c>
      <c r="K32" s="65" t="s">
        <v>20</v>
      </c>
      <c r="L32" s="65" t="s">
        <v>343</v>
      </c>
      <c r="M32" s="61" t="b">
        <v>1</v>
      </c>
      <c r="N32" s="85">
        <v>45924</v>
      </c>
      <c r="O32" s="85">
        <v>45942</v>
      </c>
      <c r="P32" s="61">
        <v>19</v>
      </c>
      <c r="Q32" s="81">
        <v>4.1200000000000001E-2</v>
      </c>
      <c r="R32" s="68">
        <v>11873.08</v>
      </c>
      <c r="S32" s="65">
        <f t="shared" si="6"/>
        <v>11279.425999999999</v>
      </c>
      <c r="T32" s="65">
        <f t="shared" si="7"/>
        <v>593.654</v>
      </c>
      <c r="U32" s="68">
        <v>0</v>
      </c>
      <c r="V32" s="68">
        <v>624.9</v>
      </c>
      <c r="W32" s="65" t="s">
        <v>22</v>
      </c>
      <c r="X32" s="82">
        <v>10</v>
      </c>
      <c r="Y32" s="82">
        <v>0.2</v>
      </c>
      <c r="Z32" s="83" t="s">
        <v>344</v>
      </c>
      <c r="AA32" s="84">
        <v>1187308</v>
      </c>
      <c r="AB32" s="84">
        <v>59365</v>
      </c>
      <c r="AC32" s="65" t="s">
        <v>344</v>
      </c>
      <c r="AD32" s="65" t="s">
        <v>344</v>
      </c>
      <c r="AE32" s="81">
        <v>0.05</v>
      </c>
      <c r="AF32" s="65" t="s">
        <v>344</v>
      </c>
      <c r="AG32" s="65" t="s">
        <v>344</v>
      </c>
      <c r="AH32" s="65"/>
      <c r="AI32" s="65"/>
      <c r="AJ32" s="65"/>
      <c r="AK32" s="65"/>
      <c r="AL32" s="65"/>
      <c r="AM32" s="65"/>
      <c r="AN32" s="65"/>
      <c r="AO32" s="65" t="s">
        <v>346</v>
      </c>
      <c r="AP32" s="65" t="s">
        <v>346</v>
      </c>
      <c r="AQ32" s="65" t="s">
        <v>346</v>
      </c>
      <c r="AR32" s="65" t="s">
        <v>346</v>
      </c>
      <c r="AS32" s="65" t="s">
        <v>346</v>
      </c>
      <c r="AT32" s="65" t="s">
        <v>346</v>
      </c>
      <c r="AU32" s="65" t="s">
        <v>346</v>
      </c>
      <c r="AV32" s="65" t="s">
        <v>346</v>
      </c>
      <c r="AW32" s="106"/>
      <c r="AX32" s="106"/>
      <c r="AY32" s="106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6"/>
      <c r="BK32" s="106"/>
      <c r="BL32" s="106"/>
      <c r="BM32" s="106"/>
      <c r="BN32" s="106"/>
      <c r="BO32" s="106"/>
      <c r="BP32" s="106"/>
      <c r="BQ32" s="106"/>
      <c r="BR32" s="106"/>
    </row>
    <row r="33" spans="1:70" ht="25.5" x14ac:dyDescent="0.2">
      <c r="A33" s="136"/>
      <c r="B33" s="137"/>
      <c r="C33" s="134"/>
      <c r="D33" s="138"/>
      <c r="E33" s="134"/>
      <c r="F33" s="64" t="s">
        <v>53</v>
      </c>
      <c r="G33" s="65" t="s">
        <v>341</v>
      </c>
      <c r="H33" s="65" t="s">
        <v>342</v>
      </c>
      <c r="I33" s="65" t="s">
        <v>24</v>
      </c>
      <c r="J33" s="65" t="s">
        <v>14</v>
      </c>
      <c r="K33" s="65" t="s">
        <v>13</v>
      </c>
      <c r="L33" s="65" t="s">
        <v>343</v>
      </c>
      <c r="M33" s="61" t="b">
        <v>1</v>
      </c>
      <c r="N33" s="85">
        <v>45924</v>
      </c>
      <c r="O33" s="85">
        <v>45942</v>
      </c>
      <c r="P33" s="61">
        <v>19</v>
      </c>
      <c r="Q33" s="81">
        <v>8.2400000000000001E-2</v>
      </c>
      <c r="R33" s="68">
        <v>23746.15</v>
      </c>
      <c r="S33" s="65">
        <f t="shared" si="6"/>
        <v>22558.842500000002</v>
      </c>
      <c r="T33" s="65">
        <f t="shared" si="7"/>
        <v>1187.3075000000001</v>
      </c>
      <c r="U33" s="68">
        <v>0</v>
      </c>
      <c r="V33" s="68">
        <v>1249.8</v>
      </c>
      <c r="W33" s="65" t="s">
        <v>25</v>
      </c>
      <c r="X33" s="82">
        <v>2</v>
      </c>
      <c r="Y33" s="83" t="s">
        <v>344</v>
      </c>
      <c r="Z33" s="82">
        <v>0.3</v>
      </c>
      <c r="AA33" s="84">
        <v>11873077</v>
      </c>
      <c r="AB33" s="65" t="s">
        <v>344</v>
      </c>
      <c r="AC33" s="65" t="s">
        <v>344</v>
      </c>
      <c r="AD33" s="84">
        <v>79154</v>
      </c>
      <c r="AE33" s="65" t="s">
        <v>344</v>
      </c>
      <c r="AF33" s="65" t="s">
        <v>344</v>
      </c>
      <c r="AG33" s="81">
        <v>6.7000000000000002E-3</v>
      </c>
      <c r="AH33" s="81"/>
      <c r="AI33" s="81"/>
      <c r="AJ33" s="81"/>
      <c r="AK33" s="81"/>
      <c r="AL33" s="81"/>
      <c r="AM33" s="81"/>
      <c r="AN33" s="81"/>
      <c r="AO33" s="65" t="s">
        <v>346</v>
      </c>
      <c r="AP33" s="65" t="s">
        <v>346</v>
      </c>
      <c r="AQ33" s="65" t="s">
        <v>346</v>
      </c>
      <c r="AR33" s="65" t="s">
        <v>346</v>
      </c>
      <c r="AS33" s="65" t="s">
        <v>346</v>
      </c>
      <c r="AT33" s="65" t="s">
        <v>346</v>
      </c>
      <c r="AU33" s="65" t="s">
        <v>346</v>
      </c>
      <c r="AV33" s="65" t="s">
        <v>346</v>
      </c>
      <c r="AW33" s="106"/>
      <c r="AX33" s="106"/>
      <c r="AY33" s="106"/>
      <c r="AZ33" s="106"/>
      <c r="BA33" s="106"/>
      <c r="BB33" s="106"/>
      <c r="BC33" s="106"/>
      <c r="BD33" s="106"/>
      <c r="BE33" s="106"/>
      <c r="BF33" s="106"/>
      <c r="BG33" s="106"/>
      <c r="BH33" s="106"/>
      <c r="BI33" s="106"/>
      <c r="BJ33" s="106"/>
      <c r="BK33" s="106"/>
      <c r="BL33" s="106"/>
      <c r="BM33" s="106"/>
      <c r="BN33" s="106"/>
      <c r="BO33" s="106"/>
      <c r="BP33" s="106"/>
      <c r="BQ33" s="106"/>
      <c r="BR33" s="106"/>
    </row>
    <row r="34" spans="1:70" ht="13.5" x14ac:dyDescent="0.2">
      <c r="A34" s="136"/>
      <c r="B34" s="137"/>
      <c r="C34" s="134"/>
      <c r="D34" s="138"/>
      <c r="E34" s="134"/>
      <c r="F34" s="64" t="s">
        <v>53</v>
      </c>
      <c r="G34" s="65" t="s">
        <v>341</v>
      </c>
      <c r="H34" s="65" t="s">
        <v>342</v>
      </c>
      <c r="I34" s="65" t="s">
        <v>27</v>
      </c>
      <c r="J34" s="65" t="s">
        <v>14</v>
      </c>
      <c r="K34" s="65" t="s">
        <v>28</v>
      </c>
      <c r="L34" s="65" t="s">
        <v>343</v>
      </c>
      <c r="M34" s="61" t="b">
        <v>1</v>
      </c>
      <c r="N34" s="85">
        <v>45924</v>
      </c>
      <c r="O34" s="85">
        <v>45942</v>
      </c>
      <c r="P34" s="61">
        <v>19</v>
      </c>
      <c r="Q34" s="81">
        <v>0.16470000000000001</v>
      </c>
      <c r="R34" s="68">
        <v>47492.31</v>
      </c>
      <c r="S34" s="65">
        <f t="shared" si="6"/>
        <v>45117.694499999998</v>
      </c>
      <c r="T34" s="65">
        <f t="shared" si="7"/>
        <v>2374.6154999999999</v>
      </c>
      <c r="U34" s="68">
        <v>0</v>
      </c>
      <c r="V34" s="68">
        <v>2499.6</v>
      </c>
      <c r="W34" s="65" t="s">
        <v>29</v>
      </c>
      <c r="X34" s="82">
        <v>3</v>
      </c>
      <c r="Y34" s="83" t="s">
        <v>344</v>
      </c>
      <c r="Z34" s="82">
        <v>0.4</v>
      </c>
      <c r="AA34" s="84">
        <v>15830769</v>
      </c>
      <c r="AB34" s="65" t="s">
        <v>344</v>
      </c>
      <c r="AC34" s="65" t="s">
        <v>344</v>
      </c>
      <c r="AD34" s="84">
        <v>118731</v>
      </c>
      <c r="AE34" s="65" t="s">
        <v>344</v>
      </c>
      <c r="AF34" s="65" t="s">
        <v>344</v>
      </c>
      <c r="AG34" s="81">
        <v>7.4999999999999997E-3</v>
      </c>
      <c r="AH34" s="81"/>
      <c r="AI34" s="81"/>
      <c r="AJ34" s="81"/>
      <c r="AK34" s="81"/>
      <c r="AL34" s="81"/>
      <c r="AM34" s="81"/>
      <c r="AN34" s="81"/>
      <c r="AO34" s="65" t="s">
        <v>346</v>
      </c>
      <c r="AP34" s="65" t="s">
        <v>346</v>
      </c>
      <c r="AQ34" s="65" t="s">
        <v>346</v>
      </c>
      <c r="AR34" s="65" t="s">
        <v>346</v>
      </c>
      <c r="AS34" s="65" t="s">
        <v>346</v>
      </c>
      <c r="AT34" s="65" t="s">
        <v>346</v>
      </c>
      <c r="AU34" s="65" t="s">
        <v>346</v>
      </c>
      <c r="AV34" s="65" t="s">
        <v>346</v>
      </c>
      <c r="AW34" s="65" t="s">
        <v>346</v>
      </c>
      <c r="AX34" s="65" t="s">
        <v>346</v>
      </c>
      <c r="AY34" s="112"/>
      <c r="AZ34" s="112"/>
      <c r="BA34" s="112"/>
      <c r="BB34" s="112"/>
      <c r="BC34" s="112"/>
      <c r="BD34" s="112"/>
      <c r="BE34" s="112"/>
      <c r="BF34" s="112"/>
      <c r="BG34" s="112"/>
      <c r="BH34" s="112"/>
      <c r="BI34" s="112"/>
      <c r="BJ34" s="112"/>
      <c r="BK34" s="112"/>
      <c r="BL34" s="112"/>
      <c r="BM34" s="112"/>
      <c r="BN34" s="112"/>
      <c r="BO34" s="112"/>
      <c r="BP34" s="112"/>
      <c r="BQ34" s="112"/>
      <c r="BR34" s="112"/>
    </row>
    <row r="35" spans="1:70" ht="13.5" x14ac:dyDescent="0.2">
      <c r="A35" s="136"/>
      <c r="B35" s="137"/>
      <c r="C35" s="134"/>
      <c r="D35" s="138"/>
      <c r="E35" s="134"/>
      <c r="F35" s="64" t="s">
        <v>53</v>
      </c>
      <c r="G35" s="65" t="s">
        <v>341</v>
      </c>
      <c r="H35" s="65" t="s">
        <v>347</v>
      </c>
      <c r="I35" s="65" t="s">
        <v>345</v>
      </c>
      <c r="J35" s="65" t="s">
        <v>21</v>
      </c>
      <c r="K35" s="65" t="s">
        <v>20</v>
      </c>
      <c r="L35" s="65" t="s">
        <v>343</v>
      </c>
      <c r="M35" s="61" t="b">
        <v>1</v>
      </c>
      <c r="N35" s="85">
        <v>45203</v>
      </c>
      <c r="O35" s="85">
        <v>45291</v>
      </c>
      <c r="P35" s="61">
        <v>89</v>
      </c>
      <c r="Q35" s="81">
        <v>6.9699999999999998E-2</v>
      </c>
      <c r="R35" s="68">
        <v>20111.54</v>
      </c>
      <c r="S35" s="65">
        <f t="shared" si="6"/>
        <v>19105.963</v>
      </c>
      <c r="T35" s="65">
        <f t="shared" si="7"/>
        <v>1005.5770000000001</v>
      </c>
      <c r="U35" s="68">
        <v>0</v>
      </c>
      <c r="V35" s="68">
        <v>225.97</v>
      </c>
      <c r="W35" s="65" t="s">
        <v>22</v>
      </c>
      <c r="X35" s="82">
        <v>5.15</v>
      </c>
      <c r="Y35" s="83" t="s">
        <v>344</v>
      </c>
      <c r="Z35" s="83" t="s">
        <v>344</v>
      </c>
      <c r="AA35" s="84">
        <v>3907841</v>
      </c>
      <c r="AB35" s="84">
        <v>1436538</v>
      </c>
      <c r="AC35" s="65" t="s">
        <v>344</v>
      </c>
      <c r="AD35" s="65" t="s">
        <v>344</v>
      </c>
      <c r="AE35" s="81">
        <v>0.36759999999999998</v>
      </c>
      <c r="AF35" s="65" t="s">
        <v>344</v>
      </c>
      <c r="AG35" s="65" t="s">
        <v>344</v>
      </c>
      <c r="AH35" s="65"/>
      <c r="AI35" s="65"/>
      <c r="AJ35" s="65"/>
      <c r="AK35" s="65"/>
      <c r="AL35" s="65"/>
      <c r="AM35" s="65"/>
      <c r="AN35" s="65"/>
      <c r="AO35" s="60"/>
      <c r="AP35" s="60"/>
      <c r="AQ35" s="60"/>
      <c r="AR35" s="60"/>
      <c r="AS35" s="60"/>
      <c r="AT35" s="60"/>
      <c r="AU35" s="60"/>
      <c r="AV35" s="60"/>
      <c r="AW35" s="68">
        <v>392.42</v>
      </c>
      <c r="AX35" s="68">
        <v>392.42</v>
      </c>
      <c r="AY35" s="68">
        <v>392.42</v>
      </c>
      <c r="AZ35" s="68">
        <v>392.42</v>
      </c>
      <c r="BA35" s="68">
        <v>392.42</v>
      </c>
      <c r="BB35" s="68">
        <v>392.42</v>
      </c>
      <c r="BC35" s="68">
        <v>392.42</v>
      </c>
      <c r="BD35" s="68">
        <v>392.42</v>
      </c>
      <c r="BE35" s="68">
        <v>392.42</v>
      </c>
      <c r="BF35" s="68">
        <v>392.42</v>
      </c>
      <c r="BG35" s="68">
        <v>392.42</v>
      </c>
      <c r="BH35" s="68">
        <v>392.42</v>
      </c>
      <c r="BI35" s="68">
        <v>392.42</v>
      </c>
      <c r="BJ35" s="68">
        <v>392.42</v>
      </c>
      <c r="BK35" s="68">
        <v>392.42</v>
      </c>
      <c r="BL35" s="68">
        <v>392.42</v>
      </c>
      <c r="BM35" s="68">
        <v>392.42</v>
      </c>
      <c r="BN35" s="68">
        <v>392.42</v>
      </c>
      <c r="BO35" s="68">
        <v>392.42</v>
      </c>
      <c r="BP35" s="68">
        <v>392.42</v>
      </c>
      <c r="BQ35" s="68">
        <v>392.42</v>
      </c>
      <c r="BR35" s="68">
        <v>392.42</v>
      </c>
    </row>
    <row r="36" spans="1:70" ht="25.5" x14ac:dyDescent="0.2">
      <c r="A36" s="136"/>
      <c r="B36" s="137"/>
      <c r="C36" s="134"/>
      <c r="D36" s="138"/>
      <c r="E36" s="134"/>
      <c r="F36" s="64" t="s">
        <v>53</v>
      </c>
      <c r="G36" s="65" t="s">
        <v>341</v>
      </c>
      <c r="H36" s="65" t="s">
        <v>347</v>
      </c>
      <c r="I36" s="65" t="s">
        <v>24</v>
      </c>
      <c r="J36" s="65" t="s">
        <v>14</v>
      </c>
      <c r="K36" s="65" t="s">
        <v>13</v>
      </c>
      <c r="L36" s="65" t="s">
        <v>343</v>
      </c>
      <c r="M36" s="61" t="b">
        <v>1</v>
      </c>
      <c r="N36" s="85">
        <v>45205</v>
      </c>
      <c r="O36" s="85">
        <v>45291</v>
      </c>
      <c r="P36" s="61">
        <v>87</v>
      </c>
      <c r="Q36" s="81">
        <v>0</v>
      </c>
      <c r="R36" s="68">
        <v>0</v>
      </c>
      <c r="S36" s="65">
        <f t="shared" si="6"/>
        <v>0</v>
      </c>
      <c r="T36" s="65">
        <f t="shared" si="7"/>
        <v>0</v>
      </c>
      <c r="U36" s="68">
        <v>0</v>
      </c>
      <c r="V36" s="68">
        <v>0</v>
      </c>
      <c r="W36" s="65" t="s">
        <v>25</v>
      </c>
      <c r="X36" s="83" t="s">
        <v>348</v>
      </c>
      <c r="Y36" s="83" t="s">
        <v>344</v>
      </c>
      <c r="Z36" s="83" t="s">
        <v>348</v>
      </c>
      <c r="AA36" s="65">
        <v>0</v>
      </c>
      <c r="AB36" s="65" t="s">
        <v>344</v>
      </c>
      <c r="AC36" s="65" t="s">
        <v>344</v>
      </c>
      <c r="AD36" s="65">
        <v>0</v>
      </c>
      <c r="AE36" s="65" t="s">
        <v>344</v>
      </c>
      <c r="AF36" s="65" t="s">
        <v>344</v>
      </c>
      <c r="AG36" s="65" t="s">
        <v>344</v>
      </c>
      <c r="AH36" s="65"/>
      <c r="AI36" s="65"/>
      <c r="AJ36" s="65"/>
      <c r="AK36" s="65"/>
      <c r="AL36" s="65"/>
      <c r="AM36" s="65"/>
      <c r="AN36" s="65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8">
        <v>0</v>
      </c>
      <c r="AZ36" s="68">
        <v>0</v>
      </c>
      <c r="BA36" s="68">
        <v>0</v>
      </c>
      <c r="BB36" s="68">
        <v>0</v>
      </c>
      <c r="BC36" s="68">
        <v>0</v>
      </c>
      <c r="BD36" s="68">
        <v>0</v>
      </c>
      <c r="BE36" s="68">
        <v>0</v>
      </c>
      <c r="BF36" s="68">
        <v>0</v>
      </c>
      <c r="BG36" s="68">
        <v>0</v>
      </c>
      <c r="BH36" s="68">
        <v>0</v>
      </c>
      <c r="BI36" s="68">
        <v>0</v>
      </c>
      <c r="BJ36" s="68">
        <v>0</v>
      </c>
      <c r="BK36" s="68">
        <v>0</v>
      </c>
      <c r="BL36" s="68">
        <v>0</v>
      </c>
      <c r="BM36" s="68">
        <v>0</v>
      </c>
      <c r="BN36" s="68">
        <v>0</v>
      </c>
      <c r="BO36" s="68">
        <v>0</v>
      </c>
      <c r="BP36" s="68">
        <v>0</v>
      </c>
      <c r="BQ36" s="68">
        <v>0</v>
      </c>
      <c r="BR36" s="68">
        <v>0</v>
      </c>
    </row>
    <row r="37" spans="1:70" ht="25.5" x14ac:dyDescent="0.2">
      <c r="A37" s="136"/>
      <c r="B37" s="137"/>
      <c r="C37" s="134"/>
      <c r="D37" s="138"/>
      <c r="E37" s="134"/>
      <c r="F37" s="64" t="s">
        <v>53</v>
      </c>
      <c r="G37" s="65" t="s">
        <v>341</v>
      </c>
      <c r="H37" s="65" t="s">
        <v>347</v>
      </c>
      <c r="I37" s="65" t="s">
        <v>12</v>
      </c>
      <c r="J37" s="65" t="s">
        <v>14</v>
      </c>
      <c r="K37" s="65" t="s">
        <v>13</v>
      </c>
      <c r="L37" s="65" t="s">
        <v>343</v>
      </c>
      <c r="M37" s="61" t="b">
        <v>1</v>
      </c>
      <c r="N37" s="85">
        <v>45204</v>
      </c>
      <c r="O37" s="85">
        <v>45291</v>
      </c>
      <c r="P37" s="61">
        <v>88</v>
      </c>
      <c r="Q37" s="81">
        <v>0</v>
      </c>
      <c r="R37" s="68">
        <v>0</v>
      </c>
      <c r="S37" s="65">
        <f t="shared" si="6"/>
        <v>0</v>
      </c>
      <c r="T37" s="65">
        <f t="shared" si="7"/>
        <v>0</v>
      </c>
      <c r="U37" s="68">
        <v>0</v>
      </c>
      <c r="V37" s="68">
        <v>0</v>
      </c>
      <c r="W37" s="65" t="s">
        <v>15</v>
      </c>
      <c r="X37" s="83" t="s">
        <v>348</v>
      </c>
      <c r="Y37" s="83" t="s">
        <v>344</v>
      </c>
      <c r="Z37" s="83" t="s">
        <v>344</v>
      </c>
      <c r="AA37" s="65">
        <v>0</v>
      </c>
      <c r="AB37" s="65" t="s">
        <v>344</v>
      </c>
      <c r="AC37" s="65" t="s">
        <v>344</v>
      </c>
      <c r="AD37" s="65" t="s">
        <v>344</v>
      </c>
      <c r="AE37" s="65" t="s">
        <v>344</v>
      </c>
      <c r="AF37" s="65" t="s">
        <v>344</v>
      </c>
      <c r="AG37" s="65" t="s">
        <v>344</v>
      </c>
      <c r="AH37" s="65"/>
      <c r="AI37" s="65"/>
      <c r="AJ37" s="65"/>
      <c r="AK37" s="65"/>
      <c r="AL37" s="65"/>
      <c r="AM37" s="65"/>
      <c r="AN37" s="65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8">
        <v>0</v>
      </c>
      <c r="AZ37" s="68">
        <v>0</v>
      </c>
      <c r="BA37" s="68">
        <v>0</v>
      </c>
      <c r="BB37" s="68">
        <v>0</v>
      </c>
      <c r="BC37" s="68">
        <v>0</v>
      </c>
      <c r="BD37" s="68">
        <v>0</v>
      </c>
      <c r="BE37" s="68">
        <v>0</v>
      </c>
      <c r="BF37" s="68">
        <v>0</v>
      </c>
      <c r="BG37" s="68">
        <v>0</v>
      </c>
      <c r="BH37" s="68">
        <v>0</v>
      </c>
      <c r="BI37" s="68">
        <v>0</v>
      </c>
      <c r="BJ37" s="68">
        <v>0</v>
      </c>
      <c r="BK37" s="68">
        <v>0</v>
      </c>
      <c r="BL37" s="68">
        <v>0</v>
      </c>
      <c r="BM37" s="68">
        <v>0</v>
      </c>
      <c r="BN37" s="68">
        <v>0</v>
      </c>
      <c r="BO37" s="68">
        <v>0</v>
      </c>
      <c r="BP37" s="68">
        <v>0</v>
      </c>
      <c r="BQ37" s="68">
        <v>0</v>
      </c>
      <c r="BR37" s="68">
        <v>0</v>
      </c>
    </row>
    <row r="38" spans="1:70" ht="25.5" x14ac:dyDescent="0.2">
      <c r="A38" s="136"/>
      <c r="B38" s="137"/>
      <c r="C38" s="134"/>
      <c r="D38" s="138"/>
      <c r="E38" s="134"/>
      <c r="F38" s="64" t="s">
        <v>53</v>
      </c>
      <c r="G38" s="65" t="s">
        <v>341</v>
      </c>
      <c r="H38" s="65" t="s">
        <v>347</v>
      </c>
      <c r="I38" s="65" t="s">
        <v>27</v>
      </c>
      <c r="J38" s="65" t="s">
        <v>14</v>
      </c>
      <c r="K38" s="65" t="s">
        <v>13</v>
      </c>
      <c r="L38" s="65" t="s">
        <v>343</v>
      </c>
      <c r="M38" s="61" t="b">
        <v>1</v>
      </c>
      <c r="N38" s="85">
        <v>45203</v>
      </c>
      <c r="O38" s="85">
        <v>45230</v>
      </c>
      <c r="P38" s="61">
        <v>28</v>
      </c>
      <c r="Q38" s="81">
        <v>0.10920000000000001</v>
      </c>
      <c r="R38" s="68">
        <v>31500</v>
      </c>
      <c r="S38" s="65">
        <f t="shared" si="6"/>
        <v>29925</v>
      </c>
      <c r="T38" s="65">
        <f t="shared" si="7"/>
        <v>1575</v>
      </c>
      <c r="U38" s="68">
        <v>0</v>
      </c>
      <c r="V38" s="68">
        <v>1125</v>
      </c>
      <c r="W38" s="65" t="s">
        <v>25</v>
      </c>
      <c r="X38" s="82">
        <v>2.78</v>
      </c>
      <c r="Y38" s="83" t="s">
        <v>344</v>
      </c>
      <c r="Z38" s="82">
        <v>1.43</v>
      </c>
      <c r="AA38" s="84">
        <v>11337278</v>
      </c>
      <c r="AB38" s="65" t="s">
        <v>344</v>
      </c>
      <c r="AC38" s="65" t="s">
        <v>344</v>
      </c>
      <c r="AD38" s="84">
        <v>22044</v>
      </c>
      <c r="AE38" s="65" t="s">
        <v>344</v>
      </c>
      <c r="AF38" s="65" t="s">
        <v>344</v>
      </c>
      <c r="AG38" s="81">
        <v>1.9E-3</v>
      </c>
      <c r="AH38" s="81"/>
      <c r="AI38" s="81"/>
      <c r="AJ38" s="81"/>
      <c r="AK38" s="81"/>
      <c r="AL38" s="81"/>
      <c r="AM38" s="81"/>
      <c r="AN38" s="81"/>
      <c r="AO38" s="60"/>
      <c r="AP38" s="60"/>
      <c r="AQ38" s="60"/>
      <c r="AR38" s="60"/>
      <c r="AS38" s="60"/>
      <c r="AT38" s="60"/>
      <c r="AU38" s="60"/>
      <c r="AV38" s="60"/>
      <c r="AW38" s="68">
        <v>562.5</v>
      </c>
      <c r="AX38" s="68">
        <v>562.5</v>
      </c>
      <c r="AY38" s="68">
        <v>562.5</v>
      </c>
      <c r="AZ38" s="68">
        <v>562.5</v>
      </c>
      <c r="BA38" s="68">
        <v>562.5</v>
      </c>
      <c r="BB38" s="68">
        <v>562.5</v>
      </c>
      <c r="BC38" s="68">
        <v>562.5</v>
      </c>
      <c r="BD38" s="68">
        <v>562.5</v>
      </c>
      <c r="BE38" s="68">
        <v>562.5</v>
      </c>
      <c r="BF38" s="68">
        <v>562.5</v>
      </c>
      <c r="BG38" s="68">
        <v>562.5</v>
      </c>
      <c r="BH38" s="68">
        <v>562.5</v>
      </c>
      <c r="BI38" s="68">
        <v>562.5</v>
      </c>
      <c r="BJ38" s="68">
        <v>562.5</v>
      </c>
      <c r="BK38" s="68">
        <v>562.5</v>
      </c>
      <c r="BL38" s="68">
        <v>562.5</v>
      </c>
      <c r="BM38" s="68">
        <v>562.5</v>
      </c>
      <c r="BN38" s="68">
        <v>562.5</v>
      </c>
      <c r="BO38" s="68">
        <v>562.5</v>
      </c>
      <c r="BP38" s="68">
        <v>562.5</v>
      </c>
      <c r="BQ38" s="68">
        <v>562.5</v>
      </c>
      <c r="BR38" s="68">
        <v>562.5</v>
      </c>
    </row>
    <row r="39" spans="1:70" ht="13.5" x14ac:dyDescent="0.2">
      <c r="A39" s="136"/>
      <c r="B39" s="137"/>
      <c r="C39" s="134"/>
      <c r="D39" s="138"/>
      <c r="E39" s="134"/>
      <c r="F39" s="64" t="s">
        <v>53</v>
      </c>
      <c r="G39" s="65" t="s">
        <v>341</v>
      </c>
      <c r="H39" s="65" t="s">
        <v>347</v>
      </c>
      <c r="I39" s="65" t="s">
        <v>27</v>
      </c>
      <c r="J39" s="65" t="s">
        <v>14</v>
      </c>
      <c r="K39" s="65" t="s">
        <v>28</v>
      </c>
      <c r="L39" s="65" t="s">
        <v>343</v>
      </c>
      <c r="M39" s="61" t="b">
        <v>1</v>
      </c>
      <c r="N39" s="85">
        <v>45231</v>
      </c>
      <c r="O39" s="85">
        <v>45291</v>
      </c>
      <c r="P39" s="61">
        <v>61</v>
      </c>
      <c r="Q39" s="81">
        <v>0.30630000000000002</v>
      </c>
      <c r="R39" s="68">
        <v>88321.15</v>
      </c>
      <c r="S39" s="65">
        <f t="shared" si="6"/>
        <v>83905.092499999999</v>
      </c>
      <c r="T39" s="65">
        <f t="shared" si="7"/>
        <v>4416.0574999999999</v>
      </c>
      <c r="U39" s="68">
        <v>0</v>
      </c>
      <c r="V39" s="68">
        <v>1447.89</v>
      </c>
      <c r="W39" s="65" t="s">
        <v>25</v>
      </c>
      <c r="X39" s="82">
        <v>3.14</v>
      </c>
      <c r="Y39" s="83" t="s">
        <v>344</v>
      </c>
      <c r="Z39" s="82">
        <v>1.19</v>
      </c>
      <c r="AA39" s="84">
        <v>28144598</v>
      </c>
      <c r="AB39" s="65" t="s">
        <v>344</v>
      </c>
      <c r="AC39" s="65" t="s">
        <v>344</v>
      </c>
      <c r="AD39" s="84">
        <v>74511</v>
      </c>
      <c r="AE39" s="65" t="s">
        <v>344</v>
      </c>
      <c r="AF39" s="65" t="s">
        <v>344</v>
      </c>
      <c r="AG39" s="81">
        <v>2.5999999999999999E-3</v>
      </c>
      <c r="AH39" s="81"/>
      <c r="AI39" s="81"/>
      <c r="AJ39" s="81"/>
      <c r="AK39" s="81"/>
      <c r="AL39" s="81"/>
      <c r="AM39" s="81"/>
      <c r="AN39" s="81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</row>
    <row r="40" spans="1:70" x14ac:dyDescent="0.2">
      <c r="A40" s="136"/>
      <c r="B40" s="137"/>
      <c r="C40" s="134"/>
      <c r="D40" s="60"/>
      <c r="E40" s="60"/>
      <c r="F40" s="60"/>
      <c r="G40" s="61" t="s">
        <v>349</v>
      </c>
      <c r="H40" s="60"/>
      <c r="I40" s="61"/>
      <c r="J40" s="60"/>
      <c r="K40" s="60"/>
      <c r="L40" s="60"/>
      <c r="M40" s="63"/>
      <c r="N40" s="60"/>
      <c r="O40" s="60"/>
      <c r="P40" s="60"/>
      <c r="Q40" s="59">
        <v>1</v>
      </c>
      <c r="R40" s="61">
        <f>SUM(R31:R39)</f>
        <v>258663.46</v>
      </c>
      <c r="S40" s="61">
        <f>SUM(S31:S39)</f>
        <v>245730.28700000001</v>
      </c>
      <c r="T40" s="61">
        <f>SUM(T31:T39)</f>
        <v>12933.172999999999</v>
      </c>
      <c r="U40" s="61">
        <f>SUM(U31:U39)</f>
        <v>0</v>
      </c>
      <c r="V40" s="62"/>
      <c r="W40" s="60"/>
      <c r="X40" s="60"/>
      <c r="Y40" s="60"/>
      <c r="Z40" s="60"/>
      <c r="AA40" s="61">
        <f>SUM(AA31:AA39)</f>
        <v>107900102</v>
      </c>
      <c r="AB40" s="61">
        <f>SUM(AB31:AB39)</f>
        <v>1495903</v>
      </c>
      <c r="AC40" s="61">
        <f>SUM(AC31:AC39)</f>
        <v>0</v>
      </c>
      <c r="AD40" s="61">
        <f>SUM(AD31:AD39)</f>
        <v>294440</v>
      </c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1" t="s">
        <v>346</v>
      </c>
      <c r="AP40" s="61" t="s">
        <v>346</v>
      </c>
      <c r="AQ40" s="61" t="s">
        <v>346</v>
      </c>
      <c r="AR40" s="61" t="s">
        <v>346</v>
      </c>
      <c r="AS40" s="61" t="s">
        <v>346</v>
      </c>
      <c r="AT40" s="61" t="s">
        <v>346</v>
      </c>
      <c r="AU40" s="61" t="s">
        <v>346</v>
      </c>
      <c r="AV40" s="61" t="s">
        <v>346</v>
      </c>
      <c r="AW40" s="61" t="s">
        <v>346</v>
      </c>
      <c r="AX40" s="61" t="s">
        <v>346</v>
      </c>
      <c r="AY40" s="61" t="s">
        <v>346</v>
      </c>
      <c r="AZ40" s="61" t="s">
        <v>346</v>
      </c>
      <c r="BA40" s="61" t="s">
        <v>346</v>
      </c>
      <c r="BB40" s="61" t="s">
        <v>346</v>
      </c>
      <c r="BC40" s="61" t="s">
        <v>346</v>
      </c>
      <c r="BD40" s="61" t="s">
        <v>346</v>
      </c>
      <c r="BE40" s="61" t="s">
        <v>346</v>
      </c>
      <c r="BF40" s="61" t="s">
        <v>346</v>
      </c>
      <c r="BG40" s="61" t="s">
        <v>346</v>
      </c>
      <c r="BH40" s="61" t="s">
        <v>346</v>
      </c>
      <c r="BI40" s="61" t="s">
        <v>346</v>
      </c>
      <c r="BJ40" s="61" t="s">
        <v>346</v>
      </c>
      <c r="BK40" s="61" t="s">
        <v>346</v>
      </c>
      <c r="BL40" s="61" t="s">
        <v>346</v>
      </c>
      <c r="BM40" s="61" t="s">
        <v>346</v>
      </c>
      <c r="BN40" s="61" t="s">
        <v>346</v>
      </c>
      <c r="BO40" s="61" t="s">
        <v>346</v>
      </c>
      <c r="BP40" s="61" t="s">
        <v>346</v>
      </c>
      <c r="BQ40" s="61" t="s">
        <v>346</v>
      </c>
      <c r="BR40" s="61" t="s">
        <v>346</v>
      </c>
    </row>
    <row r="41" spans="1:70" ht="13.5" x14ac:dyDescent="0.2">
      <c r="A41" s="136"/>
      <c r="B41" s="137"/>
      <c r="C41" s="134"/>
      <c r="D41" s="138" t="s">
        <v>34</v>
      </c>
      <c r="E41" s="138" t="s">
        <v>340</v>
      </c>
      <c r="F41" s="64" t="s">
        <v>53</v>
      </c>
      <c r="G41" s="65" t="s">
        <v>42</v>
      </c>
      <c r="H41" s="65" t="s">
        <v>342</v>
      </c>
      <c r="I41" s="67" t="s">
        <v>12</v>
      </c>
      <c r="J41" s="67" t="s">
        <v>21</v>
      </c>
      <c r="K41" s="67" t="s">
        <v>45</v>
      </c>
      <c r="L41" s="65" t="s">
        <v>343</v>
      </c>
      <c r="M41" s="72" t="b">
        <v>0</v>
      </c>
      <c r="N41" s="85">
        <v>45924</v>
      </c>
      <c r="O41" s="85">
        <v>45942</v>
      </c>
      <c r="P41" s="61">
        <v>19</v>
      </c>
      <c r="Q41" s="73">
        <f>R41/R51</f>
        <v>7.4786338279084236E-2</v>
      </c>
      <c r="R41" s="69">
        <v>24042.06</v>
      </c>
      <c r="S41" s="65">
        <f t="shared" ref="S41:S50" si="8">R41-T41-U41</f>
        <v>22839.957000000002</v>
      </c>
      <c r="T41" s="65">
        <f t="shared" ref="T41:T50" si="9">R41*0.05</f>
        <v>1202.1030000000001</v>
      </c>
      <c r="U41" s="68">
        <v>0</v>
      </c>
      <c r="V41" s="69">
        <v>1265.3699999999999</v>
      </c>
      <c r="W41" s="67" t="s">
        <v>15</v>
      </c>
      <c r="X41" s="66">
        <v>2.8</v>
      </c>
      <c r="Y41" s="71" t="s">
        <v>344</v>
      </c>
      <c r="Z41" s="71" t="s">
        <v>344</v>
      </c>
      <c r="AA41" s="86">
        <v>8586449</v>
      </c>
      <c r="AB41" s="71" t="s">
        <v>344</v>
      </c>
      <c r="AC41" s="71" t="s">
        <v>344</v>
      </c>
      <c r="AD41" s="71" t="s">
        <v>344</v>
      </c>
      <c r="AE41" s="71" t="s">
        <v>344</v>
      </c>
      <c r="AF41" s="71" t="s">
        <v>344</v>
      </c>
      <c r="AG41" s="71" t="s">
        <v>344</v>
      </c>
      <c r="AH41" s="71"/>
      <c r="AI41" s="71"/>
      <c r="AJ41" s="71"/>
      <c r="AK41" s="71"/>
      <c r="AL41" s="71"/>
      <c r="AM41" s="71"/>
      <c r="AN41" s="71"/>
      <c r="AO41" s="69">
        <v>1265.3699999999999</v>
      </c>
      <c r="AP41" s="69">
        <v>1265.3699999999999</v>
      </c>
      <c r="AQ41" s="69">
        <v>1265.3699999999999</v>
      </c>
      <c r="AR41" s="69">
        <v>1265.3699999999999</v>
      </c>
      <c r="AS41" s="69">
        <v>1265.3699999999999</v>
      </c>
      <c r="AT41" s="69">
        <v>1265.3699999999999</v>
      </c>
      <c r="AU41" s="69">
        <v>1265.3699999999999</v>
      </c>
      <c r="AV41" s="69">
        <v>1265.3699999999999</v>
      </c>
      <c r="AW41" s="69">
        <v>1265.3699999999999</v>
      </c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</row>
    <row r="42" spans="1:70" ht="13.5" x14ac:dyDescent="0.2">
      <c r="A42" s="136"/>
      <c r="B42" s="137"/>
      <c r="C42" s="134"/>
      <c r="D42" s="138"/>
      <c r="E42" s="138"/>
      <c r="F42" s="64" t="s">
        <v>53</v>
      </c>
      <c r="G42" s="65" t="s">
        <v>42</v>
      </c>
      <c r="H42" s="65" t="s">
        <v>342</v>
      </c>
      <c r="I42" s="67" t="s">
        <v>17</v>
      </c>
      <c r="J42" s="67" t="s">
        <v>21</v>
      </c>
      <c r="K42" s="67" t="s">
        <v>47</v>
      </c>
      <c r="L42" s="65" t="s">
        <v>343</v>
      </c>
      <c r="M42" s="72" t="b">
        <v>0</v>
      </c>
      <c r="N42" s="85">
        <v>45924</v>
      </c>
      <c r="O42" s="85">
        <v>45942</v>
      </c>
      <c r="P42" s="61">
        <v>19</v>
      </c>
      <c r="Q42" s="73">
        <f>R42/R51</f>
        <v>4.9857558852722826E-2</v>
      </c>
      <c r="R42" s="69">
        <v>16028.04</v>
      </c>
      <c r="S42" s="65">
        <f t="shared" si="8"/>
        <v>15226.638000000001</v>
      </c>
      <c r="T42" s="65">
        <f t="shared" si="9"/>
        <v>801.40200000000004</v>
      </c>
      <c r="U42" s="68">
        <v>0</v>
      </c>
      <c r="V42" s="69">
        <v>843.58</v>
      </c>
      <c r="W42" s="67" t="s">
        <v>22</v>
      </c>
      <c r="X42" s="66">
        <v>3.6</v>
      </c>
      <c r="Y42" s="66">
        <v>0.01</v>
      </c>
      <c r="Z42" s="71" t="s">
        <v>344</v>
      </c>
      <c r="AA42" s="86">
        <v>4452233</v>
      </c>
      <c r="AB42" s="86">
        <v>2003505</v>
      </c>
      <c r="AC42" s="71" t="s">
        <v>344</v>
      </c>
      <c r="AD42" s="71" t="s">
        <v>344</v>
      </c>
      <c r="AE42" s="87"/>
      <c r="AF42" s="71" t="s">
        <v>344</v>
      </c>
      <c r="AG42" s="71" t="s">
        <v>344</v>
      </c>
      <c r="AH42" s="71"/>
      <c r="AI42" s="71"/>
      <c r="AJ42" s="71"/>
      <c r="AK42" s="71"/>
      <c r="AL42" s="71"/>
      <c r="AM42" s="71"/>
      <c r="AN42" s="71"/>
      <c r="AO42" s="69">
        <v>843.58</v>
      </c>
      <c r="AP42" s="69">
        <v>843.58</v>
      </c>
      <c r="AQ42" s="69">
        <v>843.58</v>
      </c>
      <c r="AR42" s="69">
        <v>843.58</v>
      </c>
      <c r="AS42" s="69">
        <v>843.58</v>
      </c>
      <c r="AT42" s="69">
        <v>843.58</v>
      </c>
      <c r="AU42" s="69">
        <v>843.58</v>
      </c>
      <c r="AV42" s="69">
        <v>843.58</v>
      </c>
      <c r="AW42" s="69">
        <v>843.58</v>
      </c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</row>
    <row r="43" spans="1:70" ht="13.5" x14ac:dyDescent="0.2">
      <c r="A43" s="136"/>
      <c r="B43" s="137"/>
      <c r="C43" s="134"/>
      <c r="D43" s="138"/>
      <c r="E43" s="138"/>
      <c r="F43" s="64" t="s">
        <v>53</v>
      </c>
      <c r="G43" s="65" t="s">
        <v>42</v>
      </c>
      <c r="H43" s="65" t="s">
        <v>347</v>
      </c>
      <c r="I43" s="67" t="s">
        <v>17</v>
      </c>
      <c r="J43" s="67" t="s">
        <v>21</v>
      </c>
      <c r="K43" s="67" t="s">
        <v>47</v>
      </c>
      <c r="L43" s="65" t="s">
        <v>343</v>
      </c>
      <c r="M43" s="72" t="b">
        <v>0</v>
      </c>
      <c r="N43" s="70">
        <v>45204</v>
      </c>
      <c r="O43" s="70">
        <v>45291</v>
      </c>
      <c r="P43" s="72">
        <v>88</v>
      </c>
      <c r="Q43" s="73">
        <f>R43/R51</f>
        <v>0</v>
      </c>
      <c r="R43" s="69">
        <v>0</v>
      </c>
      <c r="S43" s="65">
        <f t="shared" si="8"/>
        <v>0</v>
      </c>
      <c r="T43" s="65">
        <f t="shared" si="9"/>
        <v>0</v>
      </c>
      <c r="U43" s="68">
        <v>0</v>
      </c>
      <c r="V43" s="69">
        <v>0</v>
      </c>
      <c r="W43" s="67" t="s">
        <v>22</v>
      </c>
      <c r="X43" s="67" t="s">
        <v>348</v>
      </c>
      <c r="Y43" s="69">
        <v>0.01</v>
      </c>
      <c r="Z43" s="71" t="s">
        <v>344</v>
      </c>
      <c r="AA43" s="67">
        <v>0</v>
      </c>
      <c r="AB43" s="67">
        <v>0</v>
      </c>
      <c r="AC43" s="71" t="s">
        <v>344</v>
      </c>
      <c r="AD43" s="71" t="s">
        <v>344</v>
      </c>
      <c r="AE43" s="73">
        <v>0.4</v>
      </c>
      <c r="AF43" s="71" t="s">
        <v>344</v>
      </c>
      <c r="AG43" s="71" t="s">
        <v>344</v>
      </c>
      <c r="AH43" s="71"/>
      <c r="AI43" s="71"/>
      <c r="AJ43" s="71"/>
      <c r="AK43" s="71"/>
      <c r="AL43" s="71"/>
      <c r="AM43" s="71"/>
      <c r="AN43" s="71"/>
      <c r="AO43" s="60"/>
      <c r="AP43" s="60"/>
      <c r="AQ43" s="60"/>
      <c r="AR43" s="60"/>
      <c r="AS43" s="60"/>
      <c r="AT43" s="60"/>
      <c r="AU43" s="60"/>
      <c r="AV43" s="60"/>
      <c r="AW43" s="60"/>
      <c r="AX43" s="68">
        <v>0</v>
      </c>
      <c r="AY43" s="68">
        <v>0</v>
      </c>
      <c r="AZ43" s="68">
        <v>0</v>
      </c>
      <c r="BA43" s="68">
        <v>0</v>
      </c>
      <c r="BB43" s="68">
        <v>0</v>
      </c>
      <c r="BC43" s="68">
        <v>0</v>
      </c>
      <c r="BD43" s="68">
        <v>0</v>
      </c>
      <c r="BE43" s="68">
        <v>0</v>
      </c>
      <c r="BF43" s="69">
        <v>0</v>
      </c>
      <c r="BG43" s="69">
        <v>0</v>
      </c>
      <c r="BH43" s="69">
        <v>0</v>
      </c>
      <c r="BI43" s="69">
        <v>0</v>
      </c>
      <c r="BJ43" s="69">
        <v>0</v>
      </c>
      <c r="BK43" s="69">
        <v>0</v>
      </c>
      <c r="BL43" s="69">
        <v>0</v>
      </c>
      <c r="BM43" s="69">
        <v>0</v>
      </c>
      <c r="BN43" s="69">
        <v>0</v>
      </c>
      <c r="BO43" s="69">
        <v>0</v>
      </c>
      <c r="BP43" s="69">
        <v>0</v>
      </c>
      <c r="BQ43" s="69">
        <v>0</v>
      </c>
      <c r="BR43" s="69">
        <v>0</v>
      </c>
    </row>
    <row r="44" spans="1:70" ht="13.5" x14ac:dyDescent="0.2">
      <c r="A44" s="136"/>
      <c r="B44" s="137"/>
      <c r="C44" s="134"/>
      <c r="D44" s="138"/>
      <c r="E44" s="138"/>
      <c r="F44" s="64" t="s">
        <v>53</v>
      </c>
      <c r="G44" s="65" t="s">
        <v>35</v>
      </c>
      <c r="H44" s="65" t="s">
        <v>342</v>
      </c>
      <c r="I44" s="67" t="s">
        <v>24</v>
      </c>
      <c r="J44" s="67" t="s">
        <v>26</v>
      </c>
      <c r="K44" s="67" t="s">
        <v>350</v>
      </c>
      <c r="L44" s="65" t="s">
        <v>343</v>
      </c>
      <c r="M44" s="72" t="b">
        <v>0</v>
      </c>
      <c r="N44" s="85">
        <v>45924</v>
      </c>
      <c r="O44" s="85">
        <v>45942</v>
      </c>
      <c r="P44" s="61">
        <v>19</v>
      </c>
      <c r="Q44" s="73">
        <f>R44/R51</f>
        <v>9.9715086598985439E-2</v>
      </c>
      <c r="R44" s="69">
        <v>32056.07</v>
      </c>
      <c r="S44" s="65">
        <f t="shared" si="8"/>
        <v>30453.266499999998</v>
      </c>
      <c r="T44" s="65">
        <f t="shared" si="9"/>
        <v>1602.8035</v>
      </c>
      <c r="U44" s="68">
        <v>0</v>
      </c>
      <c r="V44" s="69">
        <v>1687.16</v>
      </c>
      <c r="W44" s="71" t="s">
        <v>25</v>
      </c>
      <c r="X44" s="66">
        <v>0.2</v>
      </c>
      <c r="Y44" s="71" t="s">
        <v>344</v>
      </c>
      <c r="Z44" s="71" t="s">
        <v>344</v>
      </c>
      <c r="AA44" s="86">
        <v>160280374</v>
      </c>
      <c r="AB44" s="71" t="s">
        <v>344</v>
      </c>
      <c r="AC44" s="71" t="s">
        <v>344</v>
      </c>
      <c r="AD44" s="71" t="s">
        <v>344</v>
      </c>
      <c r="AE44" s="71" t="s">
        <v>344</v>
      </c>
      <c r="AF44" s="71" t="s">
        <v>344</v>
      </c>
      <c r="AG44" s="71" t="s">
        <v>344</v>
      </c>
      <c r="AH44" s="71"/>
      <c r="AI44" s="71"/>
      <c r="AJ44" s="71"/>
      <c r="AK44" s="71"/>
      <c r="AL44" s="71"/>
      <c r="AM44" s="71"/>
      <c r="AN44" s="71"/>
      <c r="AO44" s="69">
        <v>1687.16</v>
      </c>
      <c r="AP44" s="69">
        <v>1687.16</v>
      </c>
      <c r="AQ44" s="69">
        <v>1687.16</v>
      </c>
      <c r="AR44" s="69">
        <v>1687.16</v>
      </c>
      <c r="AS44" s="69">
        <v>1687.16</v>
      </c>
      <c r="AT44" s="69">
        <v>1687.16</v>
      </c>
      <c r="AU44" s="69">
        <v>1687.16</v>
      </c>
      <c r="AV44" s="69">
        <v>1687.16</v>
      </c>
      <c r="AW44" s="69">
        <v>1687.16</v>
      </c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</row>
    <row r="45" spans="1:70" ht="13.5" x14ac:dyDescent="0.2">
      <c r="A45" s="136"/>
      <c r="B45" s="137"/>
      <c r="C45" s="134"/>
      <c r="D45" s="138"/>
      <c r="E45" s="138"/>
      <c r="F45" s="64" t="s">
        <v>53</v>
      </c>
      <c r="G45" s="65" t="s">
        <v>35</v>
      </c>
      <c r="H45" s="65" t="s">
        <v>342</v>
      </c>
      <c r="I45" s="67" t="s">
        <v>27</v>
      </c>
      <c r="J45" s="71" t="s">
        <v>14</v>
      </c>
      <c r="K45" s="67" t="s">
        <v>351</v>
      </c>
      <c r="L45" s="65" t="s">
        <v>343</v>
      </c>
      <c r="M45" s="72" t="b">
        <v>0</v>
      </c>
      <c r="N45" s="85">
        <v>45924</v>
      </c>
      <c r="O45" s="85">
        <v>45942</v>
      </c>
      <c r="P45" s="61">
        <v>19</v>
      </c>
      <c r="Q45" s="104">
        <f>R45/R51</f>
        <v>0.14957264545170826</v>
      </c>
      <c r="R45" s="69">
        <v>48084.11</v>
      </c>
      <c r="S45" s="65">
        <f t="shared" si="8"/>
        <v>45679.904500000004</v>
      </c>
      <c r="T45" s="65">
        <f t="shared" si="9"/>
        <v>2404.2055</v>
      </c>
      <c r="U45" s="68">
        <v>0</v>
      </c>
      <c r="V45" s="69">
        <v>2530.7399999999998</v>
      </c>
      <c r="W45" s="67" t="s">
        <v>29</v>
      </c>
      <c r="X45" s="87"/>
      <c r="Y45" s="87"/>
      <c r="Z45" s="87"/>
      <c r="AA45" s="60"/>
      <c r="AB45" s="87"/>
      <c r="AC45" s="87"/>
      <c r="AD45" s="60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</row>
    <row r="46" spans="1:70" ht="13.5" x14ac:dyDescent="0.2">
      <c r="A46" s="136"/>
      <c r="B46" s="137"/>
      <c r="C46" s="134"/>
      <c r="D46" s="138"/>
      <c r="E46" s="138"/>
      <c r="F46" s="64" t="s">
        <v>53</v>
      </c>
      <c r="G46" s="65" t="s">
        <v>35</v>
      </c>
      <c r="H46" s="65" t="s">
        <v>342</v>
      </c>
      <c r="I46" s="67" t="s">
        <v>27</v>
      </c>
      <c r="J46" s="67" t="s">
        <v>30</v>
      </c>
      <c r="K46" s="67" t="s">
        <v>38</v>
      </c>
      <c r="L46" s="65" t="s">
        <v>343</v>
      </c>
      <c r="M46" s="72" t="b">
        <v>0</v>
      </c>
      <c r="N46" s="85">
        <v>45924</v>
      </c>
      <c r="O46" s="85">
        <v>45942</v>
      </c>
      <c r="P46" s="61">
        <v>19</v>
      </c>
      <c r="Q46" s="73">
        <f>R46/R51</f>
        <v>0.12464386602534684</v>
      </c>
      <c r="R46" s="69">
        <v>40070.089999999997</v>
      </c>
      <c r="S46" s="65">
        <f t="shared" si="8"/>
        <v>38066.585499999994</v>
      </c>
      <c r="T46" s="65">
        <f t="shared" si="9"/>
        <v>2003.5045</v>
      </c>
      <c r="U46" s="68">
        <v>0</v>
      </c>
      <c r="V46" s="69">
        <v>2108.9499999999998</v>
      </c>
      <c r="W46" s="67" t="s">
        <v>29</v>
      </c>
      <c r="X46" s="66">
        <v>42</v>
      </c>
      <c r="Y46" s="71" t="s">
        <v>344</v>
      </c>
      <c r="Z46" s="66">
        <v>0.7</v>
      </c>
      <c r="AA46" s="86">
        <v>954050</v>
      </c>
      <c r="AB46" s="71" t="s">
        <v>344</v>
      </c>
      <c r="AC46" s="71" t="s">
        <v>344</v>
      </c>
      <c r="AD46" s="86">
        <v>57243</v>
      </c>
      <c r="AE46" s="71" t="s">
        <v>344</v>
      </c>
      <c r="AF46" s="71" t="s">
        <v>344</v>
      </c>
      <c r="AG46" s="99">
        <v>0.06</v>
      </c>
      <c r="AH46" s="99"/>
      <c r="AI46" s="99"/>
      <c r="AJ46" s="99"/>
      <c r="AK46" s="99"/>
      <c r="AL46" s="99"/>
      <c r="AM46" s="99"/>
      <c r="AN46" s="99"/>
      <c r="AO46" s="69">
        <v>2108.9499999999998</v>
      </c>
      <c r="AP46" s="69">
        <v>2108.9499999999998</v>
      </c>
      <c r="AQ46" s="69">
        <v>2108.9499999999998</v>
      </c>
      <c r="AR46" s="69">
        <v>2108.9499999999998</v>
      </c>
      <c r="AS46" s="69">
        <v>2108.9499999999998</v>
      </c>
      <c r="AT46" s="69">
        <v>2108.9499999999998</v>
      </c>
      <c r="AU46" s="69">
        <v>2108.9499999999998</v>
      </c>
      <c r="AV46" s="69">
        <v>2108.9499999999998</v>
      </c>
      <c r="AW46" s="69">
        <v>2108.9499999999998</v>
      </c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</row>
    <row r="47" spans="1:70" ht="13.5" x14ac:dyDescent="0.2">
      <c r="A47" s="136"/>
      <c r="B47" s="137"/>
      <c r="C47" s="134"/>
      <c r="D47" s="138"/>
      <c r="E47" s="138"/>
      <c r="F47" s="64" t="s">
        <v>53</v>
      </c>
      <c r="G47" s="65" t="s">
        <v>35</v>
      </c>
      <c r="H47" s="65" t="s">
        <v>342</v>
      </c>
      <c r="I47" s="67" t="s">
        <v>27</v>
      </c>
      <c r="J47" s="67" t="s">
        <v>30</v>
      </c>
      <c r="K47" s="67" t="s">
        <v>38</v>
      </c>
      <c r="L47" s="65" t="s">
        <v>343</v>
      </c>
      <c r="M47" s="72" t="b">
        <v>0</v>
      </c>
      <c r="N47" s="70">
        <v>45195</v>
      </c>
      <c r="O47" s="70">
        <v>45202</v>
      </c>
      <c r="P47" s="72">
        <v>8</v>
      </c>
      <c r="Q47" s="73">
        <f>R47/R51</f>
        <v>5.9523798044044438E-2</v>
      </c>
      <c r="R47" s="69">
        <v>19135.509999999998</v>
      </c>
      <c r="S47" s="65">
        <f t="shared" si="8"/>
        <v>18178.734499999999</v>
      </c>
      <c r="T47" s="65">
        <f t="shared" si="9"/>
        <v>956.77549999999997</v>
      </c>
      <c r="U47" s="68">
        <v>0</v>
      </c>
      <c r="V47" s="69">
        <v>2391.94</v>
      </c>
      <c r="W47" s="67" t="s">
        <v>25</v>
      </c>
      <c r="X47" s="69">
        <v>45</v>
      </c>
      <c r="Y47" s="67" t="s">
        <v>344</v>
      </c>
      <c r="Z47" s="69">
        <v>0.9</v>
      </c>
      <c r="AA47" s="86">
        <v>425234</v>
      </c>
      <c r="AB47" s="67" t="s">
        <v>344</v>
      </c>
      <c r="AC47" s="71" t="s">
        <v>344</v>
      </c>
      <c r="AD47" s="86">
        <v>21262</v>
      </c>
      <c r="AE47" s="67" t="s">
        <v>344</v>
      </c>
      <c r="AF47" s="67" t="s">
        <v>344</v>
      </c>
      <c r="AG47" s="107">
        <v>0.05</v>
      </c>
      <c r="AH47" s="107"/>
      <c r="AI47" s="107"/>
      <c r="AJ47" s="107"/>
      <c r="AK47" s="107"/>
      <c r="AL47" s="107"/>
      <c r="AM47" s="107"/>
      <c r="AN47" s="107"/>
      <c r="AO47" s="69">
        <v>2391.94</v>
      </c>
      <c r="AP47" s="69">
        <v>2391.94</v>
      </c>
      <c r="AQ47" s="69">
        <v>2391.94</v>
      </c>
      <c r="AR47" s="69">
        <v>2391.94</v>
      </c>
      <c r="AS47" s="69">
        <v>2391.94</v>
      </c>
      <c r="AT47" s="69">
        <v>2391.94</v>
      </c>
      <c r="AU47" s="69">
        <v>2391.94</v>
      </c>
      <c r="AV47" s="69">
        <v>2391.94</v>
      </c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</row>
    <row r="48" spans="1:70" ht="13.5" x14ac:dyDescent="0.2">
      <c r="A48" s="136"/>
      <c r="B48" s="137"/>
      <c r="C48" s="134"/>
      <c r="D48" s="138"/>
      <c r="E48" s="138"/>
      <c r="F48" s="64" t="s">
        <v>53</v>
      </c>
      <c r="G48" s="65" t="s">
        <v>35</v>
      </c>
      <c r="H48" s="65" t="s">
        <v>342</v>
      </c>
      <c r="I48" s="67" t="s">
        <v>27</v>
      </c>
      <c r="J48" s="67" t="s">
        <v>26</v>
      </c>
      <c r="K48" s="67" t="s">
        <v>352</v>
      </c>
      <c r="L48" s="65" t="s">
        <v>343</v>
      </c>
      <c r="M48" s="72" t="b">
        <v>0</v>
      </c>
      <c r="N48" s="70">
        <v>45195</v>
      </c>
      <c r="O48" s="70">
        <v>45202</v>
      </c>
      <c r="P48" s="72">
        <v>8</v>
      </c>
      <c r="Q48" s="73">
        <f>R48/R51</f>
        <v>4.5787558492198947E-2</v>
      </c>
      <c r="R48" s="69">
        <v>14719.63</v>
      </c>
      <c r="S48" s="65">
        <f t="shared" si="8"/>
        <v>13983.648499999999</v>
      </c>
      <c r="T48" s="65">
        <f t="shared" si="9"/>
        <v>735.98149999999998</v>
      </c>
      <c r="U48" s="68">
        <v>0</v>
      </c>
      <c r="V48" s="69">
        <v>1839.95</v>
      </c>
      <c r="W48" s="67" t="s">
        <v>25</v>
      </c>
      <c r="X48" s="69">
        <v>1.8</v>
      </c>
      <c r="Y48" s="67" t="s">
        <v>344</v>
      </c>
      <c r="Z48" s="69">
        <v>0.2</v>
      </c>
      <c r="AA48" s="86">
        <v>8177570</v>
      </c>
      <c r="AB48" s="67" t="s">
        <v>344</v>
      </c>
      <c r="AC48" s="71" t="s">
        <v>344</v>
      </c>
      <c r="AD48" s="86">
        <v>73598</v>
      </c>
      <c r="AE48" s="67" t="s">
        <v>344</v>
      </c>
      <c r="AF48" s="71" t="s">
        <v>344</v>
      </c>
      <c r="AG48" s="107">
        <v>0.01</v>
      </c>
      <c r="AH48" s="107"/>
      <c r="AI48" s="107"/>
      <c r="AJ48" s="107"/>
      <c r="AK48" s="107"/>
      <c r="AL48" s="107"/>
      <c r="AM48" s="107"/>
      <c r="AN48" s="107"/>
      <c r="AO48" s="69">
        <v>1839.95</v>
      </c>
      <c r="AP48" s="69">
        <v>1839.95</v>
      </c>
      <c r="AQ48" s="69">
        <v>1839.95</v>
      </c>
      <c r="AR48" s="69">
        <v>1839.95</v>
      </c>
      <c r="AS48" s="69">
        <v>1839.95</v>
      </c>
      <c r="AT48" s="69">
        <v>1839.95</v>
      </c>
      <c r="AU48" s="69">
        <v>1839.95</v>
      </c>
      <c r="AV48" s="69">
        <v>1839.95</v>
      </c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</row>
    <row r="49" spans="1:70" ht="13.5" x14ac:dyDescent="0.2">
      <c r="A49" s="136"/>
      <c r="B49" s="137"/>
      <c r="C49" s="134"/>
      <c r="D49" s="138"/>
      <c r="E49" s="138"/>
      <c r="F49" s="64" t="s">
        <v>53</v>
      </c>
      <c r="G49" s="65" t="s">
        <v>35</v>
      </c>
      <c r="H49" s="65" t="s">
        <v>347</v>
      </c>
      <c r="I49" s="67" t="s">
        <v>27</v>
      </c>
      <c r="J49" s="67" t="s">
        <v>30</v>
      </c>
      <c r="K49" s="67" t="s">
        <v>38</v>
      </c>
      <c r="L49" s="65" t="s">
        <v>343</v>
      </c>
      <c r="M49" s="72" t="b">
        <v>0</v>
      </c>
      <c r="N49" s="70">
        <v>45203</v>
      </c>
      <c r="O49" s="70">
        <v>45291</v>
      </c>
      <c r="P49" s="72">
        <v>89</v>
      </c>
      <c r="Q49" s="73">
        <f>R49/R51</f>
        <v>0.24725274742366185</v>
      </c>
      <c r="R49" s="69">
        <v>79485.98</v>
      </c>
      <c r="S49" s="65">
        <f t="shared" si="8"/>
        <v>75511.680999999997</v>
      </c>
      <c r="T49" s="65">
        <f t="shared" si="9"/>
        <v>3974.299</v>
      </c>
      <c r="U49" s="68">
        <v>0</v>
      </c>
      <c r="V49" s="69">
        <v>893.1</v>
      </c>
      <c r="W49" s="67" t="s">
        <v>25</v>
      </c>
      <c r="X49" s="69">
        <v>37.5</v>
      </c>
      <c r="Y49" s="67" t="s">
        <v>344</v>
      </c>
      <c r="Z49" s="69">
        <v>0.75</v>
      </c>
      <c r="AA49" s="86">
        <v>2119626</v>
      </c>
      <c r="AB49" s="67" t="s">
        <v>344</v>
      </c>
      <c r="AC49" s="71" t="s">
        <v>344</v>
      </c>
      <c r="AD49" s="86">
        <v>105981</v>
      </c>
      <c r="AE49" s="67" t="s">
        <v>344</v>
      </c>
      <c r="AF49" s="67" t="s">
        <v>344</v>
      </c>
      <c r="AG49" s="107">
        <v>0.05</v>
      </c>
      <c r="AH49" s="107"/>
      <c r="AI49" s="107"/>
      <c r="AJ49" s="107"/>
      <c r="AK49" s="107"/>
      <c r="AL49" s="107"/>
      <c r="AM49" s="107"/>
      <c r="AN49" s="107"/>
      <c r="AO49" s="60"/>
      <c r="AP49" s="60"/>
      <c r="AQ49" s="60"/>
      <c r="AR49" s="60"/>
      <c r="AS49" s="60"/>
      <c r="AT49" s="60"/>
      <c r="AU49" s="60"/>
      <c r="AV49" s="60"/>
      <c r="AW49" s="69">
        <v>1117.77</v>
      </c>
      <c r="AX49" s="69">
        <v>1117.77</v>
      </c>
      <c r="AY49" s="69">
        <v>1117.77</v>
      </c>
      <c r="AZ49" s="69">
        <v>1117.77</v>
      </c>
      <c r="BA49" s="69">
        <v>1117.77</v>
      </c>
      <c r="BB49" s="69">
        <v>1117.77</v>
      </c>
      <c r="BC49" s="69">
        <v>1117.77</v>
      </c>
      <c r="BD49" s="69">
        <v>1117.77</v>
      </c>
      <c r="BE49" s="69">
        <v>1117.77</v>
      </c>
      <c r="BF49" s="69">
        <v>1117.77</v>
      </c>
      <c r="BG49" s="69">
        <v>1117.77</v>
      </c>
      <c r="BH49" s="69">
        <v>1117.77</v>
      </c>
      <c r="BI49" s="69">
        <v>1117.77</v>
      </c>
      <c r="BJ49" s="69">
        <v>1117.77</v>
      </c>
      <c r="BK49" s="69">
        <v>1117.77</v>
      </c>
      <c r="BL49" s="69">
        <v>1117.77</v>
      </c>
      <c r="BM49" s="69">
        <v>1117.77</v>
      </c>
      <c r="BN49" s="69">
        <v>1117.77</v>
      </c>
      <c r="BO49" s="69">
        <v>1117.77</v>
      </c>
      <c r="BP49" s="69">
        <v>1117.77</v>
      </c>
      <c r="BQ49" s="69">
        <v>1117.77</v>
      </c>
      <c r="BR49" s="69">
        <v>1117.77</v>
      </c>
    </row>
    <row r="50" spans="1:70" ht="25.5" x14ac:dyDescent="0.2">
      <c r="A50" s="136"/>
      <c r="B50" s="137"/>
      <c r="C50" s="134"/>
      <c r="D50" s="138"/>
      <c r="E50" s="138"/>
      <c r="F50" s="64" t="s">
        <v>53</v>
      </c>
      <c r="G50" s="65" t="s">
        <v>35</v>
      </c>
      <c r="H50" s="65" t="s">
        <v>347</v>
      </c>
      <c r="I50" s="67" t="s">
        <v>27</v>
      </c>
      <c r="J50" s="67" t="s">
        <v>353</v>
      </c>
      <c r="K50" s="67" t="s">
        <v>354</v>
      </c>
      <c r="L50" s="65" t="s">
        <v>343</v>
      </c>
      <c r="M50" s="72" t="b">
        <v>0</v>
      </c>
      <c r="N50" s="70">
        <v>45203</v>
      </c>
      <c r="O50" s="70">
        <v>45291</v>
      </c>
      <c r="P50" s="72">
        <v>89</v>
      </c>
      <c r="Q50" s="73">
        <f>R50/$R51</f>
        <v>0.14886040083224711</v>
      </c>
      <c r="R50" s="69">
        <v>47855.14</v>
      </c>
      <c r="S50" s="65">
        <f t="shared" si="8"/>
        <v>45462.383000000002</v>
      </c>
      <c r="T50" s="65">
        <f t="shared" si="9"/>
        <v>2392.7570000000001</v>
      </c>
      <c r="U50" s="68">
        <v>0</v>
      </c>
      <c r="V50" s="69">
        <v>537.70000000000005</v>
      </c>
      <c r="W50" s="67" t="s">
        <v>25</v>
      </c>
      <c r="X50" s="66">
        <v>2.8</v>
      </c>
      <c r="Y50" s="71" t="s">
        <v>344</v>
      </c>
      <c r="Z50" s="66">
        <v>0.5</v>
      </c>
      <c r="AA50" s="86">
        <v>17091121</v>
      </c>
      <c r="AB50" s="71" t="s">
        <v>344</v>
      </c>
      <c r="AC50" s="71" t="s">
        <v>344</v>
      </c>
      <c r="AD50" s="86">
        <v>95710</v>
      </c>
      <c r="AE50" s="71" t="s">
        <v>344</v>
      </c>
      <c r="AF50" s="71" t="s">
        <v>344</v>
      </c>
      <c r="AG50" s="99">
        <v>0.03</v>
      </c>
      <c r="AH50" s="99"/>
      <c r="AI50" s="99"/>
      <c r="AJ50" s="99"/>
      <c r="AK50" s="99"/>
      <c r="AL50" s="99"/>
      <c r="AM50" s="99"/>
      <c r="AN50" s="99"/>
      <c r="AO50" s="60"/>
      <c r="AP50" s="60"/>
      <c r="AQ50" s="60"/>
      <c r="AR50" s="60"/>
      <c r="AS50" s="60"/>
      <c r="AT50" s="60"/>
      <c r="AU50" s="60"/>
      <c r="AV50" s="60"/>
      <c r="AW50" s="69">
        <v>555</v>
      </c>
      <c r="AX50" s="69">
        <v>555</v>
      </c>
      <c r="AY50" s="69">
        <v>555</v>
      </c>
      <c r="AZ50" s="69">
        <v>555</v>
      </c>
      <c r="BA50" s="69">
        <v>555</v>
      </c>
      <c r="BB50" s="69">
        <v>555</v>
      </c>
      <c r="BC50" s="69">
        <v>555</v>
      </c>
      <c r="BD50" s="69">
        <v>555</v>
      </c>
      <c r="BE50" s="69">
        <v>555</v>
      </c>
      <c r="BF50" s="69">
        <v>555</v>
      </c>
      <c r="BG50" s="69">
        <v>555</v>
      </c>
      <c r="BH50" s="69">
        <v>555</v>
      </c>
      <c r="BI50" s="69">
        <v>555</v>
      </c>
      <c r="BJ50" s="69">
        <v>555</v>
      </c>
      <c r="BK50" s="69">
        <v>555</v>
      </c>
      <c r="BL50" s="69">
        <v>555</v>
      </c>
      <c r="BM50" s="69">
        <v>555</v>
      </c>
      <c r="BN50" s="69">
        <v>555</v>
      </c>
      <c r="BO50" s="69">
        <v>555</v>
      </c>
      <c r="BP50" s="69">
        <v>555</v>
      </c>
      <c r="BQ50" s="69">
        <v>555</v>
      </c>
      <c r="BR50" s="69">
        <v>555</v>
      </c>
    </row>
    <row r="51" spans="1:70" x14ac:dyDescent="0.2">
      <c r="A51" s="136"/>
      <c r="B51" s="137"/>
      <c r="C51" s="134"/>
      <c r="D51" s="60"/>
      <c r="E51" s="60"/>
      <c r="F51" s="60"/>
      <c r="G51" s="61" t="s">
        <v>355</v>
      </c>
      <c r="H51" s="60"/>
      <c r="I51" s="61"/>
      <c r="J51" s="60"/>
      <c r="K51" s="60"/>
      <c r="L51" s="60"/>
      <c r="M51" s="60"/>
      <c r="N51" s="60"/>
      <c r="O51" s="60"/>
      <c r="P51" s="60"/>
      <c r="Q51" s="59">
        <v>1</v>
      </c>
      <c r="R51" s="61">
        <f>SUM(R41:R50)</f>
        <v>321476.63</v>
      </c>
      <c r="S51" s="61">
        <f>SUM(S41:S50)</f>
        <v>305402.79850000003</v>
      </c>
      <c r="T51" s="61">
        <f>SUM(T41:T50)</f>
        <v>16073.831499999998</v>
      </c>
      <c r="U51" s="61">
        <f>SUM(U41:U50)</f>
        <v>0</v>
      </c>
      <c r="V51" s="61"/>
      <c r="W51" s="60"/>
      <c r="X51" s="60"/>
      <c r="Y51" s="60"/>
      <c r="Z51" s="60"/>
      <c r="AA51" s="61">
        <f>SUM(AA41:AA50)</f>
        <v>202086657</v>
      </c>
      <c r="AB51" s="61">
        <f>SUM(AB41:AB50)</f>
        <v>2003505</v>
      </c>
      <c r="AC51" s="61">
        <f>SUM(AC41:AC50)</f>
        <v>0</v>
      </c>
      <c r="AD51" s="61">
        <f>SUM(AD41:AD50)</f>
        <v>353794</v>
      </c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8">
        <v>10136.959999999999</v>
      </c>
      <c r="AP51" s="68">
        <v>10136.959999999999</v>
      </c>
      <c r="AQ51" s="68">
        <v>10136.959999999999</v>
      </c>
      <c r="AR51" s="68">
        <v>10136.959999999999</v>
      </c>
      <c r="AS51" s="68">
        <v>10136.959999999999</v>
      </c>
      <c r="AT51" s="68">
        <v>10136.959999999999</v>
      </c>
      <c r="AU51" s="68">
        <v>10136.959999999999</v>
      </c>
      <c r="AV51" s="68">
        <v>10136.959999999999</v>
      </c>
      <c r="AW51" s="68">
        <v>7577.84</v>
      </c>
      <c r="AX51" s="68">
        <v>1672.77</v>
      </c>
      <c r="AY51" s="65" t="s">
        <v>346</v>
      </c>
      <c r="AZ51" s="65" t="s">
        <v>346</v>
      </c>
      <c r="BA51" s="65" t="s">
        <v>346</v>
      </c>
      <c r="BB51" s="65" t="s">
        <v>346</v>
      </c>
      <c r="BC51" s="65" t="s">
        <v>346</v>
      </c>
      <c r="BD51" s="65" t="s">
        <v>346</v>
      </c>
      <c r="BE51" s="65" t="s">
        <v>346</v>
      </c>
      <c r="BF51" s="65" t="s">
        <v>346</v>
      </c>
      <c r="BG51" s="65" t="s">
        <v>346</v>
      </c>
      <c r="BH51" s="65" t="s">
        <v>346</v>
      </c>
      <c r="BI51" s="65" t="s">
        <v>346</v>
      </c>
      <c r="BJ51" s="65" t="s">
        <v>346</v>
      </c>
      <c r="BK51" s="65" t="s">
        <v>346</v>
      </c>
      <c r="BL51" s="65" t="s">
        <v>346</v>
      </c>
      <c r="BM51" s="65" t="s">
        <v>346</v>
      </c>
      <c r="BN51" s="65" t="s">
        <v>346</v>
      </c>
      <c r="BO51" s="65" t="s">
        <v>346</v>
      </c>
      <c r="BP51" s="65" t="s">
        <v>346</v>
      </c>
      <c r="BQ51" s="65" t="s">
        <v>346</v>
      </c>
      <c r="BR51" s="65" t="s">
        <v>346</v>
      </c>
    </row>
    <row r="52" spans="1:70" ht="25.5" x14ac:dyDescent="0.2">
      <c r="A52" s="136"/>
      <c r="B52" s="137"/>
      <c r="C52" s="134"/>
      <c r="D52" s="138" t="s">
        <v>262</v>
      </c>
      <c r="E52" s="138" t="s">
        <v>340</v>
      </c>
      <c r="F52" s="64" t="s">
        <v>53</v>
      </c>
      <c r="G52" s="65" t="s">
        <v>262</v>
      </c>
      <c r="H52" s="65" t="s">
        <v>342</v>
      </c>
      <c r="I52" s="67" t="s">
        <v>356</v>
      </c>
      <c r="J52" s="67" t="s">
        <v>14</v>
      </c>
      <c r="K52" s="67" t="s">
        <v>13</v>
      </c>
      <c r="L52" s="65" t="s">
        <v>343</v>
      </c>
      <c r="M52" s="72" t="b">
        <v>1</v>
      </c>
      <c r="N52" s="70">
        <v>45195</v>
      </c>
      <c r="O52" s="70">
        <v>45202</v>
      </c>
      <c r="P52" s="72">
        <v>8</v>
      </c>
      <c r="Q52" s="73">
        <v>0.16</v>
      </c>
      <c r="R52" s="69">
        <v>15076.92</v>
      </c>
      <c r="S52" s="65">
        <f t="shared" ref="S52:S57" si="10">R52-T52-U52</f>
        <v>14323.074000000001</v>
      </c>
      <c r="T52" s="65">
        <f t="shared" ref="T52:T57" si="11">R52*0.05</f>
        <v>753.846</v>
      </c>
      <c r="U52" s="68">
        <v>0</v>
      </c>
      <c r="V52" s="69">
        <v>1884.62</v>
      </c>
      <c r="W52" s="67" t="s">
        <v>15</v>
      </c>
      <c r="X52" s="66">
        <v>1.62</v>
      </c>
      <c r="Y52" s="71" t="s">
        <v>344</v>
      </c>
      <c r="Z52" s="71" t="s">
        <v>344</v>
      </c>
      <c r="AA52" s="86">
        <v>9306743</v>
      </c>
      <c r="AB52" s="67" t="s">
        <v>344</v>
      </c>
      <c r="AC52" s="67" t="s">
        <v>344</v>
      </c>
      <c r="AD52" s="67" t="s">
        <v>344</v>
      </c>
      <c r="AE52" s="67" t="s">
        <v>344</v>
      </c>
      <c r="AF52" s="67" t="s">
        <v>344</v>
      </c>
      <c r="AG52" s="67" t="s">
        <v>344</v>
      </c>
      <c r="AH52" s="67"/>
      <c r="AI52" s="67"/>
      <c r="AJ52" s="67"/>
      <c r="AK52" s="67"/>
      <c r="AL52" s="67"/>
      <c r="AM52" s="67"/>
      <c r="AN52" s="67"/>
      <c r="AO52" s="69">
        <v>1884.62</v>
      </c>
      <c r="AP52" s="69">
        <v>1884.62</v>
      </c>
      <c r="AQ52" s="69">
        <v>1884.62</v>
      </c>
      <c r="AR52" s="69">
        <v>1884.62</v>
      </c>
      <c r="AS52" s="69">
        <v>1884.62</v>
      </c>
      <c r="AT52" s="69">
        <v>1884.62</v>
      </c>
      <c r="AU52" s="69">
        <v>1884.62</v>
      </c>
      <c r="AV52" s="69">
        <v>1884.62</v>
      </c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</row>
    <row r="53" spans="1:70" ht="13.5" x14ac:dyDescent="0.2">
      <c r="A53" s="136"/>
      <c r="B53" s="137"/>
      <c r="C53" s="134"/>
      <c r="D53" s="138"/>
      <c r="E53" s="138"/>
      <c r="F53" s="64" t="s">
        <v>53</v>
      </c>
      <c r="G53" s="65" t="s">
        <v>262</v>
      </c>
      <c r="H53" s="65" t="s">
        <v>342</v>
      </c>
      <c r="I53" s="67" t="s">
        <v>345</v>
      </c>
      <c r="J53" s="67" t="s">
        <v>21</v>
      </c>
      <c r="K53" s="67" t="s">
        <v>20</v>
      </c>
      <c r="L53" s="65" t="s">
        <v>343</v>
      </c>
      <c r="M53" s="72" t="b">
        <v>1</v>
      </c>
      <c r="N53" s="70">
        <v>45195</v>
      </c>
      <c r="O53" s="70">
        <v>45204</v>
      </c>
      <c r="P53" s="72">
        <v>10</v>
      </c>
      <c r="Q53" s="73">
        <v>0</v>
      </c>
      <c r="R53" s="69">
        <v>0</v>
      </c>
      <c r="S53" s="65">
        <f t="shared" si="10"/>
        <v>0</v>
      </c>
      <c r="T53" s="65">
        <f t="shared" si="11"/>
        <v>0</v>
      </c>
      <c r="U53" s="68">
        <v>0</v>
      </c>
      <c r="V53" s="69">
        <v>0</v>
      </c>
      <c r="W53" s="67" t="s">
        <v>22</v>
      </c>
      <c r="X53" s="66">
        <v>4.18</v>
      </c>
      <c r="Y53" s="66">
        <v>0.01</v>
      </c>
      <c r="Z53" s="71" t="s">
        <v>344</v>
      </c>
      <c r="AA53" s="67">
        <v>0</v>
      </c>
      <c r="AB53" s="67">
        <v>0</v>
      </c>
      <c r="AC53" s="67" t="s">
        <v>344</v>
      </c>
      <c r="AD53" s="67" t="s">
        <v>344</v>
      </c>
      <c r="AE53" s="67" t="s">
        <v>344</v>
      </c>
      <c r="AF53" s="67" t="s">
        <v>344</v>
      </c>
      <c r="AG53" s="67" t="s">
        <v>344</v>
      </c>
      <c r="AH53" s="67"/>
      <c r="AI53" s="67"/>
      <c r="AJ53" s="67"/>
      <c r="AK53" s="67"/>
      <c r="AL53" s="67"/>
      <c r="AM53" s="67"/>
      <c r="AN53" s="67"/>
      <c r="AO53" s="69">
        <v>0</v>
      </c>
      <c r="AP53" s="69">
        <v>0</v>
      </c>
      <c r="AQ53" s="69">
        <v>0</v>
      </c>
      <c r="AR53" s="69">
        <v>0</v>
      </c>
      <c r="AS53" s="69">
        <v>0</v>
      </c>
      <c r="AT53" s="69">
        <v>0</v>
      </c>
      <c r="AU53" s="69">
        <v>0</v>
      </c>
      <c r="AV53" s="69">
        <v>0</v>
      </c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</row>
    <row r="54" spans="1:70" ht="25.5" x14ac:dyDescent="0.2">
      <c r="A54" s="136"/>
      <c r="B54" s="137"/>
      <c r="C54" s="134"/>
      <c r="D54" s="138"/>
      <c r="E54" s="138"/>
      <c r="F54" s="64" t="s">
        <v>53</v>
      </c>
      <c r="G54" s="65" t="s">
        <v>262</v>
      </c>
      <c r="H54" s="65" t="s">
        <v>342</v>
      </c>
      <c r="I54" s="67" t="s">
        <v>24</v>
      </c>
      <c r="J54" s="67" t="s">
        <v>14</v>
      </c>
      <c r="K54" s="67" t="s">
        <v>13</v>
      </c>
      <c r="L54" s="65" t="s">
        <v>343</v>
      </c>
      <c r="M54" s="72" t="b">
        <v>1</v>
      </c>
      <c r="N54" s="70">
        <v>45195</v>
      </c>
      <c r="O54" s="70">
        <v>45202</v>
      </c>
      <c r="P54" s="72">
        <v>8</v>
      </c>
      <c r="Q54" s="73">
        <v>0.18</v>
      </c>
      <c r="R54" s="69">
        <v>16961.54</v>
      </c>
      <c r="S54" s="65">
        <f t="shared" si="10"/>
        <v>16113.463000000002</v>
      </c>
      <c r="T54" s="65">
        <f t="shared" si="11"/>
        <v>848.07700000000011</v>
      </c>
      <c r="U54" s="68">
        <v>0</v>
      </c>
      <c r="V54" s="69">
        <v>2120.19</v>
      </c>
      <c r="W54" s="67" t="s">
        <v>25</v>
      </c>
      <c r="X54" s="66">
        <v>1.32</v>
      </c>
      <c r="Y54" s="71" t="s">
        <v>344</v>
      </c>
      <c r="Z54" s="66">
        <v>0.64</v>
      </c>
      <c r="AA54" s="86">
        <v>12849650</v>
      </c>
      <c r="AB54" s="67" t="s">
        <v>344</v>
      </c>
      <c r="AC54" s="67" t="s">
        <v>344</v>
      </c>
      <c r="AD54" s="86">
        <v>26502</v>
      </c>
      <c r="AE54" s="67" t="s">
        <v>344</v>
      </c>
      <c r="AF54" s="67" t="s">
        <v>344</v>
      </c>
      <c r="AG54" s="73">
        <v>2.0999999999999999E-3</v>
      </c>
      <c r="AH54" s="73"/>
      <c r="AI54" s="73"/>
      <c r="AJ54" s="73"/>
      <c r="AK54" s="73"/>
      <c r="AL54" s="73"/>
      <c r="AM54" s="73"/>
      <c r="AN54" s="73"/>
      <c r="AO54" s="69">
        <v>2120.19</v>
      </c>
      <c r="AP54" s="69">
        <v>2120.19</v>
      </c>
      <c r="AQ54" s="69">
        <v>2120.19</v>
      </c>
      <c r="AR54" s="69">
        <v>2120.19</v>
      </c>
      <c r="AS54" s="69">
        <v>2120.19</v>
      </c>
      <c r="AT54" s="69">
        <v>2120.19</v>
      </c>
      <c r="AU54" s="69">
        <v>2120.19</v>
      </c>
      <c r="AV54" s="69">
        <v>2120.19</v>
      </c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</row>
    <row r="55" spans="1:70" ht="25.5" x14ac:dyDescent="0.2">
      <c r="A55" s="136"/>
      <c r="B55" s="137"/>
      <c r="C55" s="134"/>
      <c r="D55" s="138"/>
      <c r="E55" s="138"/>
      <c r="F55" s="64" t="s">
        <v>53</v>
      </c>
      <c r="G55" s="65" t="s">
        <v>262</v>
      </c>
      <c r="H55" s="65" t="s">
        <v>347</v>
      </c>
      <c r="I55" s="67" t="s">
        <v>50</v>
      </c>
      <c r="J55" s="67" t="s">
        <v>14</v>
      </c>
      <c r="K55" s="67" t="s">
        <v>13</v>
      </c>
      <c r="L55" s="65" t="s">
        <v>343</v>
      </c>
      <c r="M55" s="72" t="b">
        <v>1</v>
      </c>
      <c r="N55" s="70">
        <v>45203</v>
      </c>
      <c r="O55" s="70">
        <v>45291</v>
      </c>
      <c r="P55" s="72">
        <v>89</v>
      </c>
      <c r="Q55" s="73">
        <v>0.24</v>
      </c>
      <c r="R55" s="69">
        <v>22615.38</v>
      </c>
      <c r="S55" s="65">
        <f t="shared" si="10"/>
        <v>21484.611000000001</v>
      </c>
      <c r="T55" s="65">
        <f t="shared" si="11"/>
        <v>1130.769</v>
      </c>
      <c r="U55" s="68">
        <v>0</v>
      </c>
      <c r="V55" s="69">
        <v>254.11</v>
      </c>
      <c r="W55" s="67" t="s">
        <v>15</v>
      </c>
      <c r="X55" s="66">
        <v>1.62</v>
      </c>
      <c r="Y55" s="71" t="s">
        <v>344</v>
      </c>
      <c r="Z55" s="71" t="s">
        <v>344</v>
      </c>
      <c r="AA55" s="86">
        <v>13960114</v>
      </c>
      <c r="AB55" s="67" t="s">
        <v>344</v>
      </c>
      <c r="AC55" s="67" t="s">
        <v>344</v>
      </c>
      <c r="AD55" s="67" t="s">
        <v>344</v>
      </c>
      <c r="AE55" s="67" t="s">
        <v>344</v>
      </c>
      <c r="AF55" s="67" t="s">
        <v>344</v>
      </c>
      <c r="AG55" s="67" t="s">
        <v>344</v>
      </c>
      <c r="AH55" s="67"/>
      <c r="AI55" s="67"/>
      <c r="AJ55" s="67"/>
      <c r="AK55" s="67"/>
      <c r="AL55" s="67"/>
      <c r="AM55" s="67"/>
      <c r="AN55" s="67"/>
      <c r="AO55" s="60"/>
      <c r="AP55" s="60"/>
      <c r="AQ55" s="60"/>
      <c r="AR55" s="60"/>
      <c r="AS55" s="60"/>
      <c r="AT55" s="60"/>
      <c r="AU55" s="60"/>
      <c r="AV55" s="60"/>
      <c r="AW55" s="69">
        <v>282.69</v>
      </c>
      <c r="AX55" s="69">
        <v>282.69</v>
      </c>
      <c r="AY55" s="69">
        <v>282.69</v>
      </c>
      <c r="AZ55" s="69">
        <v>282.69</v>
      </c>
      <c r="BA55" s="69">
        <v>282.69</v>
      </c>
      <c r="BB55" s="69">
        <v>282.69</v>
      </c>
      <c r="BC55" s="69">
        <v>282.69</v>
      </c>
      <c r="BD55" s="69">
        <v>282.69</v>
      </c>
      <c r="BE55" s="69">
        <v>282.69</v>
      </c>
      <c r="BF55" s="69">
        <v>282.69</v>
      </c>
      <c r="BG55" s="69">
        <v>282.69</v>
      </c>
      <c r="BH55" s="69">
        <v>282.69</v>
      </c>
      <c r="BI55" s="69">
        <v>282.69</v>
      </c>
      <c r="BJ55" s="69">
        <v>282.69</v>
      </c>
      <c r="BK55" s="69">
        <v>282.69</v>
      </c>
      <c r="BL55" s="69">
        <v>282.69</v>
      </c>
      <c r="BM55" s="69">
        <v>282.69</v>
      </c>
      <c r="BN55" s="69">
        <v>282.69</v>
      </c>
      <c r="BO55" s="69">
        <v>282.69</v>
      </c>
      <c r="BP55" s="69">
        <v>282.69</v>
      </c>
      <c r="BQ55" s="69">
        <v>282.69</v>
      </c>
      <c r="BR55" s="69">
        <v>282.69</v>
      </c>
    </row>
    <row r="56" spans="1:70" ht="13.5" x14ac:dyDescent="0.2">
      <c r="A56" s="136"/>
      <c r="B56" s="137"/>
      <c r="C56" s="134"/>
      <c r="D56" s="138"/>
      <c r="E56" s="138"/>
      <c r="F56" s="64" t="s">
        <v>53</v>
      </c>
      <c r="G56" s="65" t="s">
        <v>262</v>
      </c>
      <c r="H56" s="65" t="s">
        <v>347</v>
      </c>
      <c r="I56" s="67" t="s">
        <v>345</v>
      </c>
      <c r="J56" s="67" t="s">
        <v>21</v>
      </c>
      <c r="K56" s="67" t="s">
        <v>20</v>
      </c>
      <c r="L56" s="65" t="s">
        <v>343</v>
      </c>
      <c r="M56" s="72" t="b">
        <v>1</v>
      </c>
      <c r="N56" s="70">
        <v>45205</v>
      </c>
      <c r="O56" s="70">
        <v>45291</v>
      </c>
      <c r="P56" s="72">
        <v>87</v>
      </c>
      <c r="Q56" s="73">
        <v>0</v>
      </c>
      <c r="R56" s="69">
        <v>0</v>
      </c>
      <c r="S56" s="65">
        <f t="shared" si="10"/>
        <v>0</v>
      </c>
      <c r="T56" s="65">
        <f t="shared" si="11"/>
        <v>0</v>
      </c>
      <c r="U56" s="68">
        <v>0</v>
      </c>
      <c r="V56" s="69">
        <v>0</v>
      </c>
      <c r="W56" s="67" t="s">
        <v>22</v>
      </c>
      <c r="X56" s="66">
        <v>4.18</v>
      </c>
      <c r="Y56" s="66">
        <v>0.01</v>
      </c>
      <c r="Z56" s="71" t="s">
        <v>344</v>
      </c>
      <c r="AA56" s="67">
        <v>0</v>
      </c>
      <c r="AB56" s="67">
        <v>0</v>
      </c>
      <c r="AC56" s="67" t="s">
        <v>344</v>
      </c>
      <c r="AD56" s="67" t="s">
        <v>344</v>
      </c>
      <c r="AE56" s="67" t="s">
        <v>344</v>
      </c>
      <c r="AF56" s="67" t="s">
        <v>344</v>
      </c>
      <c r="AG56" s="67" t="s">
        <v>344</v>
      </c>
      <c r="AH56" s="67"/>
      <c r="AI56" s="67"/>
      <c r="AJ56" s="67"/>
      <c r="AK56" s="67"/>
      <c r="AL56" s="67"/>
      <c r="AM56" s="67"/>
      <c r="AN56" s="67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9">
        <v>0</v>
      </c>
      <c r="AZ56" s="69">
        <v>0</v>
      </c>
      <c r="BA56" s="69">
        <v>0</v>
      </c>
      <c r="BB56" s="69">
        <v>0</v>
      </c>
      <c r="BC56" s="69">
        <v>0</v>
      </c>
      <c r="BD56" s="69">
        <v>0</v>
      </c>
      <c r="BE56" s="69">
        <v>0</v>
      </c>
      <c r="BF56" s="69">
        <v>0</v>
      </c>
      <c r="BG56" s="69">
        <v>0</v>
      </c>
      <c r="BH56" s="69">
        <v>0</v>
      </c>
      <c r="BI56" s="69">
        <v>0</v>
      </c>
      <c r="BJ56" s="69">
        <v>0</v>
      </c>
      <c r="BK56" s="69">
        <v>0</v>
      </c>
      <c r="BL56" s="69">
        <v>0</v>
      </c>
      <c r="BM56" s="69">
        <v>0</v>
      </c>
      <c r="BN56" s="69">
        <v>0</v>
      </c>
      <c r="BO56" s="69">
        <v>0</v>
      </c>
      <c r="BP56" s="69">
        <v>0</v>
      </c>
      <c r="BQ56" s="69">
        <v>0</v>
      </c>
      <c r="BR56" s="69">
        <v>0</v>
      </c>
    </row>
    <row r="57" spans="1:70" ht="25.5" x14ac:dyDescent="0.2">
      <c r="A57" s="136"/>
      <c r="B57" s="137"/>
      <c r="C57" s="134"/>
      <c r="D57" s="138"/>
      <c r="E57" s="138"/>
      <c r="F57" s="64" t="s">
        <v>53</v>
      </c>
      <c r="G57" s="65" t="s">
        <v>262</v>
      </c>
      <c r="H57" s="65" t="s">
        <v>347</v>
      </c>
      <c r="I57" s="67" t="s">
        <v>24</v>
      </c>
      <c r="J57" s="67" t="s">
        <v>14</v>
      </c>
      <c r="K57" s="67" t="s">
        <v>13</v>
      </c>
      <c r="L57" s="65" t="s">
        <v>343</v>
      </c>
      <c r="M57" s="72" t="b">
        <v>1</v>
      </c>
      <c r="N57" s="70">
        <v>45203</v>
      </c>
      <c r="O57" s="70">
        <v>45291</v>
      </c>
      <c r="P57" s="72">
        <v>89</v>
      </c>
      <c r="Q57" s="73">
        <v>0.42</v>
      </c>
      <c r="R57" s="69">
        <v>39576.92</v>
      </c>
      <c r="S57" s="65">
        <f t="shared" si="10"/>
        <v>37598.074000000001</v>
      </c>
      <c r="T57" s="65">
        <f t="shared" si="11"/>
        <v>1978.846</v>
      </c>
      <c r="U57" s="68">
        <v>0</v>
      </c>
      <c r="V57" s="69">
        <v>444.68</v>
      </c>
      <c r="W57" s="67" t="s">
        <v>25</v>
      </c>
      <c r="X57" s="66">
        <v>1.32</v>
      </c>
      <c r="Y57" s="71" t="s">
        <v>344</v>
      </c>
      <c r="Z57" s="66">
        <v>0.64</v>
      </c>
      <c r="AA57" s="86">
        <v>29982517</v>
      </c>
      <c r="AB57" s="67" t="s">
        <v>344</v>
      </c>
      <c r="AC57" s="67" t="s">
        <v>344</v>
      </c>
      <c r="AD57" s="86">
        <v>61839</v>
      </c>
      <c r="AE57" s="67" t="s">
        <v>344</v>
      </c>
      <c r="AF57" s="67" t="s">
        <v>344</v>
      </c>
      <c r="AG57" s="73">
        <v>2.0999999999999999E-3</v>
      </c>
      <c r="AH57" s="73"/>
      <c r="AI57" s="73"/>
      <c r="AJ57" s="73"/>
      <c r="AK57" s="73"/>
      <c r="AL57" s="73"/>
      <c r="AM57" s="73"/>
      <c r="AN57" s="73"/>
      <c r="AO57" s="60"/>
      <c r="AP57" s="60"/>
      <c r="AQ57" s="60"/>
      <c r="AR57" s="60"/>
      <c r="AS57" s="60"/>
      <c r="AT57" s="60"/>
      <c r="AU57" s="60"/>
      <c r="AV57" s="60"/>
      <c r="AW57" s="69">
        <v>494.71</v>
      </c>
      <c r="AX57" s="69">
        <v>494.71</v>
      </c>
      <c r="AY57" s="69">
        <v>494.71</v>
      </c>
      <c r="AZ57" s="69">
        <v>494.71</v>
      </c>
      <c r="BA57" s="69">
        <v>494.71</v>
      </c>
      <c r="BB57" s="69">
        <v>494.71</v>
      </c>
      <c r="BC57" s="69">
        <v>494.71</v>
      </c>
      <c r="BD57" s="69">
        <v>494.71</v>
      </c>
      <c r="BE57" s="69">
        <v>494.71</v>
      </c>
      <c r="BF57" s="69">
        <v>494.71</v>
      </c>
      <c r="BG57" s="69">
        <v>494.71</v>
      </c>
      <c r="BH57" s="69">
        <v>494.71</v>
      </c>
      <c r="BI57" s="69">
        <v>494.71</v>
      </c>
      <c r="BJ57" s="69">
        <v>494.71</v>
      </c>
      <c r="BK57" s="69">
        <v>494.71</v>
      </c>
      <c r="BL57" s="69">
        <v>494.71</v>
      </c>
      <c r="BM57" s="69">
        <v>494.71</v>
      </c>
      <c r="BN57" s="69">
        <v>494.71</v>
      </c>
      <c r="BO57" s="69">
        <v>494.71</v>
      </c>
      <c r="BP57" s="69">
        <v>494.71</v>
      </c>
      <c r="BQ57" s="69">
        <v>494.71</v>
      </c>
      <c r="BR57" s="69">
        <v>494.71</v>
      </c>
    </row>
    <row r="58" spans="1:70" x14ac:dyDescent="0.2">
      <c r="A58" s="136"/>
      <c r="B58" s="137"/>
      <c r="C58" s="134"/>
      <c r="D58" s="60"/>
      <c r="E58" s="60"/>
      <c r="F58" s="60"/>
      <c r="G58" s="61" t="s">
        <v>357</v>
      </c>
      <c r="H58" s="60"/>
      <c r="I58" s="60"/>
      <c r="J58" s="60"/>
      <c r="K58" s="60"/>
      <c r="L58" s="60"/>
      <c r="M58" s="60"/>
      <c r="N58" s="60"/>
      <c r="O58" s="60"/>
      <c r="P58" s="60"/>
      <c r="Q58" s="59">
        <v>1</v>
      </c>
      <c r="R58" s="61">
        <f>SUM(R52:R57)</f>
        <v>94230.76</v>
      </c>
      <c r="S58" s="61">
        <f>SUM(S52:S57)</f>
        <v>89519.222000000009</v>
      </c>
      <c r="T58" s="61">
        <f>SUM(T52:T57)</f>
        <v>4711.5380000000005</v>
      </c>
      <c r="U58" s="61">
        <f>SUM(U52:U57)</f>
        <v>0</v>
      </c>
      <c r="V58" s="62"/>
      <c r="W58" s="60"/>
      <c r="X58" s="60"/>
      <c r="Y58" s="60"/>
      <c r="Z58" s="60"/>
      <c r="AA58" s="84">
        <v>66099024</v>
      </c>
      <c r="AB58" s="84">
        <v>66099024</v>
      </c>
      <c r="AC58" s="84">
        <v>66099024</v>
      </c>
      <c r="AD58" s="84">
        <v>66099024</v>
      </c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8">
        <v>4004.81</v>
      </c>
      <c r="AP58" s="68">
        <v>4004.81</v>
      </c>
      <c r="AQ58" s="68">
        <v>4004.81</v>
      </c>
      <c r="AR58" s="68">
        <v>4004.81</v>
      </c>
      <c r="AS58" s="68">
        <v>4004.81</v>
      </c>
      <c r="AT58" s="68">
        <v>4004.81</v>
      </c>
      <c r="AU58" s="68">
        <v>4004.81</v>
      </c>
      <c r="AV58" s="68">
        <v>4004.81</v>
      </c>
      <c r="AW58" s="68">
        <v>777.4</v>
      </c>
      <c r="AX58" s="68">
        <v>777.4</v>
      </c>
      <c r="AY58" s="68">
        <v>777.4</v>
      </c>
      <c r="AZ58" s="68">
        <v>777.4</v>
      </c>
      <c r="BA58" s="68">
        <v>777.4</v>
      </c>
      <c r="BB58" s="68">
        <v>777.4</v>
      </c>
      <c r="BC58" s="68">
        <v>777.4</v>
      </c>
      <c r="BD58" s="68">
        <v>777.4</v>
      </c>
      <c r="BE58" s="68">
        <v>777.4</v>
      </c>
      <c r="BF58" s="68">
        <v>777.4</v>
      </c>
      <c r="BG58" s="68">
        <v>777.4</v>
      </c>
      <c r="BH58" s="68">
        <v>777.4</v>
      </c>
      <c r="BI58" s="68">
        <v>777.4</v>
      </c>
      <c r="BJ58" s="68">
        <v>777.4</v>
      </c>
      <c r="BK58" s="68">
        <v>777.4</v>
      </c>
      <c r="BL58" s="68">
        <v>777.4</v>
      </c>
      <c r="BM58" s="68">
        <v>777.4</v>
      </c>
      <c r="BN58" s="68">
        <v>777.4</v>
      </c>
      <c r="BO58" s="68">
        <v>777.4</v>
      </c>
      <c r="BP58" s="68">
        <v>777.4</v>
      </c>
      <c r="BQ58" s="68">
        <v>777.4</v>
      </c>
      <c r="BR58" s="68">
        <v>777.4</v>
      </c>
    </row>
    <row r="59" spans="1:70" x14ac:dyDescent="0.2">
      <c r="A59" s="136"/>
      <c r="B59" s="137"/>
      <c r="C59" s="134"/>
      <c r="D59" s="60"/>
      <c r="E59" s="60"/>
      <c r="F59" s="60"/>
      <c r="G59" s="61" t="s">
        <v>358</v>
      </c>
      <c r="H59" s="60"/>
      <c r="I59" s="61"/>
      <c r="J59" s="60"/>
      <c r="K59" s="60"/>
      <c r="L59" s="60"/>
      <c r="M59" s="60"/>
      <c r="N59" s="60"/>
      <c r="O59" s="60"/>
      <c r="P59" s="60"/>
      <c r="Q59" s="60"/>
      <c r="R59" s="61">
        <f>R40+R51+R58</f>
        <v>674370.85</v>
      </c>
      <c r="S59" s="61">
        <f>S40+S51+S58</f>
        <v>640652.30750000011</v>
      </c>
      <c r="T59" s="61">
        <f>T40+T51+T58</f>
        <v>33718.542499999996</v>
      </c>
      <c r="U59" s="61">
        <f>U40+U51+U58</f>
        <v>0</v>
      </c>
      <c r="V59" s="60"/>
      <c r="W59" s="60"/>
      <c r="X59" s="61"/>
      <c r="Y59" s="60"/>
      <c r="Z59" s="67"/>
      <c r="AA59" s="61">
        <f>AA40+AA51+AA58</f>
        <v>376085783</v>
      </c>
      <c r="AB59" s="61">
        <f>AB40+AB51+AB58</f>
        <v>69598432</v>
      </c>
      <c r="AC59" s="61">
        <f>AC40+AC51+AC58</f>
        <v>66099024</v>
      </c>
      <c r="AD59" s="61">
        <f>AD40+AD51+AD58</f>
        <v>66747258</v>
      </c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1" t="s">
        <v>346</v>
      </c>
      <c r="AP59" s="61" t="s">
        <v>346</v>
      </c>
      <c r="AQ59" s="61" t="s">
        <v>346</v>
      </c>
      <c r="AR59" s="61" t="s">
        <v>346</v>
      </c>
      <c r="AS59" s="61" t="s">
        <v>346</v>
      </c>
      <c r="AT59" s="61" t="s">
        <v>346</v>
      </c>
      <c r="AU59" s="61" t="s">
        <v>346</v>
      </c>
      <c r="AV59" s="61" t="s">
        <v>346</v>
      </c>
      <c r="AW59" s="61" t="s">
        <v>346</v>
      </c>
      <c r="AX59" s="61" t="s">
        <v>346</v>
      </c>
      <c r="AY59" s="61" t="s">
        <v>346</v>
      </c>
      <c r="AZ59" s="61" t="s">
        <v>346</v>
      </c>
      <c r="BA59" s="61" t="s">
        <v>346</v>
      </c>
      <c r="BB59" s="61" t="s">
        <v>346</v>
      </c>
      <c r="BC59" s="61" t="s">
        <v>346</v>
      </c>
      <c r="BD59" s="61" t="s">
        <v>346</v>
      </c>
      <c r="BE59" s="61" t="s">
        <v>346</v>
      </c>
      <c r="BF59" s="61" t="s">
        <v>346</v>
      </c>
      <c r="BG59" s="61" t="s">
        <v>346</v>
      </c>
      <c r="BH59" s="61" t="s">
        <v>346</v>
      </c>
      <c r="BI59" s="61" t="s">
        <v>346</v>
      </c>
      <c r="BJ59" s="61" t="s">
        <v>346</v>
      </c>
      <c r="BK59" s="61" t="s">
        <v>346</v>
      </c>
      <c r="BL59" s="61" t="s">
        <v>346</v>
      </c>
      <c r="BM59" s="61" t="s">
        <v>346</v>
      </c>
      <c r="BN59" s="61" t="s">
        <v>346</v>
      </c>
      <c r="BO59" s="61" t="s">
        <v>346</v>
      </c>
      <c r="BP59" s="61" t="s">
        <v>346</v>
      </c>
      <c r="BQ59" s="61" t="s">
        <v>346</v>
      </c>
      <c r="BR59" s="61" t="s">
        <v>346</v>
      </c>
    </row>
  </sheetData>
  <mergeCells count="18">
    <mergeCell ref="E41:E50"/>
    <mergeCell ref="E52:E57"/>
    <mergeCell ref="E31:E39"/>
    <mergeCell ref="D31:D39"/>
    <mergeCell ref="C31:C59"/>
    <mergeCell ref="C2:C30"/>
    <mergeCell ref="A31:A59"/>
    <mergeCell ref="B31:B59"/>
    <mergeCell ref="D41:D50"/>
    <mergeCell ref="D52:D57"/>
    <mergeCell ref="A2:A30"/>
    <mergeCell ref="B2:B30"/>
    <mergeCell ref="D12:D21"/>
    <mergeCell ref="D23:D28"/>
    <mergeCell ref="E12:E21"/>
    <mergeCell ref="E23:E28"/>
    <mergeCell ref="E2:E10"/>
    <mergeCell ref="D2:D10"/>
  </mergeCells>
  <phoneticPr fontId="25" type="noConversion"/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Ad format</vt:lpstr>
      <vt:lpstr>地区+国家</vt:lpstr>
      <vt:lpstr>Brand</vt:lpstr>
      <vt:lpstr>KPI</vt:lpstr>
      <vt:lpstr>stage</vt:lpstr>
      <vt:lpstr>服务费</vt:lpstr>
      <vt:lpstr>税费</vt:lpstr>
      <vt:lpstr>输出逻辑</vt:lpstr>
      <vt:lpstr>完整输出示例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simon.sun</dc:creator>
  <cp:lastModifiedBy>Raffaello Sun</cp:lastModifiedBy>
  <dcterms:created xsi:type="dcterms:W3CDTF">2025-12-23T03:15:41Z</dcterms:created>
  <dcterms:modified xsi:type="dcterms:W3CDTF">2025-12-23T03:38:58Z</dcterms:modified>
</cp:coreProperties>
</file>